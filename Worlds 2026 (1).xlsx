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" sheetId="1" r:id="rId5"/>
    <sheet state="visible" name="Data" sheetId="2" r:id="rId6"/>
    <sheet state="visible" name="RANKS" sheetId="3" r:id="rId7"/>
    <sheet state="visible" name="RANK BY EPA" sheetId="4" r:id="rId8"/>
    <sheet state="hidden" name="QUAL 12" sheetId="5" r:id="rId9"/>
    <sheet state="hidden" name="QUAL 21" sheetId="6" r:id="rId10"/>
    <sheet state="hidden" name="QUAL 32" sheetId="7" r:id="rId11"/>
    <sheet state="hidden" name="QUAL 41" sheetId="8" r:id="rId12"/>
    <sheet state="hidden" name="QUAL 51" sheetId="9" r:id="rId13"/>
    <sheet state="hidden" name="QUAL 61" sheetId="10" r:id="rId14"/>
    <sheet state="visible" name="ALLIANCES" sheetId="11" r:id="rId15"/>
    <sheet state="visible" name="EXPECTEDALLIANCES" sheetId="12" r:id="rId16"/>
    <sheet state="visible" name="TEAM MASTER DOC" sheetId="13" r:id="rId17"/>
    <sheet state="visible" name="263" sheetId="14" r:id="rId18"/>
    <sheet state="visible" name="MATCH MASTER DOC" sheetId="15" r:id="rId19"/>
    <sheet state="visible" name="qual_matches" sheetId="16" r:id="rId20"/>
  </sheets>
  <definedNames/>
  <calcPr/>
</workbook>
</file>

<file path=xl/sharedStrings.xml><?xml version="1.0" encoding="utf-8"?>
<sst xmlns="http://schemas.openxmlformats.org/spreadsheetml/2006/main" count="436" uniqueCount="79">
  <si>
    <t>SET EVENT CODE</t>
  </si>
  <si>
    <t>2026cmptx</t>
  </si>
  <si>
    <t>SET TEAM #</t>
  </si>
  <si>
    <t>team_number</t>
  </si>
  <si>
    <t>total_epa</t>
  </si>
  <si>
    <t>auto_epa</t>
  </si>
  <si>
    <t>teleop_epa</t>
  </si>
  <si>
    <t>endgame_epa</t>
  </si>
  <si>
    <t>RANKS</t>
  </si>
  <si>
    <t>TEAM #</t>
  </si>
  <si>
    <t>TOTAL EPA</t>
  </si>
  <si>
    <t>AUTO EPA</t>
  </si>
  <si>
    <t>TELE EPA</t>
  </si>
  <si>
    <t>END EPA</t>
  </si>
  <si>
    <t>SHOOTER TYPE</t>
  </si>
  <si>
    <t>TRENCH</t>
  </si>
  <si>
    <t>P-RANK</t>
  </si>
  <si>
    <t>BLUE 1</t>
  </si>
  <si>
    <t>BLUE 2</t>
  </si>
  <si>
    <t>BLUE 3</t>
  </si>
  <si>
    <t>RED 1</t>
  </si>
  <si>
    <t>RED 2</t>
  </si>
  <si>
    <t>RED 3</t>
  </si>
  <si>
    <t>TEAM NUMBER</t>
  </si>
  <si>
    <t>TELE-OP EPA</t>
  </si>
  <si>
    <t>ENDGAME EPA</t>
  </si>
  <si>
    <t>TRENCH?</t>
  </si>
  <si>
    <t>DRIVE BASE</t>
  </si>
  <si>
    <t>SHOOTER STYLE</t>
  </si>
  <si>
    <t># OF LANES</t>
  </si>
  <si>
    <t>HOPPER CAPACITY</t>
  </si>
  <si>
    <t>SHOOT PRELOAD</t>
  </si>
  <si>
    <t>CENTER AUTO</t>
  </si>
  <si>
    <t># OF SWEEPS</t>
  </si>
  <si>
    <t>DEPOT AUTO</t>
  </si>
  <si>
    <t>OUTPOST AUTO</t>
  </si>
  <si>
    <t>ROBOT WEIGHT</t>
  </si>
  <si>
    <t>PREDICTED SCORE</t>
  </si>
  <si>
    <t>ALLIANCE 1</t>
  </si>
  <si>
    <t>ALLIANCE 8</t>
  </si>
  <si>
    <t xml:space="preserve">TOTAL EPA = </t>
  </si>
  <si>
    <t>ALLIANCE 2</t>
  </si>
  <si>
    <t>ALLIANCE 7</t>
  </si>
  <si>
    <t>ALLIANCE 3</t>
  </si>
  <si>
    <t>ALLIANCE 6</t>
  </si>
  <si>
    <t>ALLIANCE 4</t>
  </si>
  <si>
    <t>ALLIANCE 5</t>
  </si>
  <si>
    <t>ALLIANCES RANKED BY POWER</t>
  </si>
  <si>
    <t>FRAME INFO</t>
  </si>
  <si>
    <t>WEIGHT</t>
  </si>
  <si>
    <t>DRIVE INFO</t>
  </si>
  <si>
    <t>BASE TYPE</t>
  </si>
  <si>
    <t>INDEXER INFO</t>
  </si>
  <si>
    <t>HOPPER SIZE</t>
  </si>
  <si>
    <t>INCLOSED</t>
  </si>
  <si>
    <t>SHOOTER INFO</t>
  </si>
  <si>
    <t>STYLE</t>
  </si>
  <si>
    <t>RANK</t>
  </si>
  <si>
    <t># LANES</t>
  </si>
  <si>
    <t>AUTO INFO</t>
  </si>
  <si>
    <t>HAVE AUTO</t>
  </si>
  <si>
    <t>SHOOT PRELOAD?</t>
  </si>
  <si>
    <t>CENTER AUTO?</t>
  </si>
  <si>
    <t>DEPOT AUTO?</t>
  </si>
  <si>
    <t>OUTPOST AUTO?</t>
  </si>
  <si>
    <t>SWERVE</t>
  </si>
  <si>
    <t>YES</t>
  </si>
  <si>
    <t>FRAME</t>
  </si>
  <si>
    <t>2 LANES</t>
  </si>
  <si>
    <t>NO</t>
  </si>
  <si>
    <t xml:space="preserve">MATCH # = </t>
  </si>
  <si>
    <t>HOPPER INCLOSED</t>
  </si>
  <si>
    <t>match</t>
  </si>
  <si>
    <t>R1</t>
  </si>
  <si>
    <t>R2</t>
  </si>
  <si>
    <t>R3</t>
  </si>
  <si>
    <t>B1</t>
  </si>
  <si>
    <t>B2</t>
  </si>
  <si>
    <t>B3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</si>
</sst>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rgb="FF000000"/>
      <name val="Verdana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Arial"/>
      <scheme val="minor"/>
    </font>
    <font>
      <sz val="12.0"/>
      <color rgb="FFFFFFFF"/>
      <name val="Arial"/>
      <scheme val="minor"/>
    </font>
    <font/>
    <font>
      <b/>
      <sz val="14.0"/>
      <color theme="1"/>
      <name val="Arial"/>
      <scheme val="minor"/>
    </font>
    <font>
      <color theme="1"/>
      <name val="Arial"/>
    </font>
    <font>
      <b/>
      <sz val="16.0"/>
      <color theme="1"/>
      <name val="Arial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</fills>
  <borders count="16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2" fontId="4" numFmtId="0" xfId="0" applyAlignment="1" applyFill="1" applyFont="1">
      <alignment horizontal="center" readingOrder="0" vertical="center"/>
    </xf>
    <xf borderId="0" fillId="3" fontId="4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3" fontId="4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3" fontId="4" numFmtId="0" xfId="0" applyAlignment="1" applyFont="1">
      <alignment horizontal="center" vertical="center"/>
    </xf>
    <xf borderId="0" fillId="2" fontId="4" numFmtId="2" xfId="0" applyAlignment="1" applyFont="1" applyNumberFormat="1">
      <alignment horizontal="center" vertical="center"/>
    </xf>
    <xf borderId="2" fillId="0" fontId="4" numFmtId="0" xfId="0" applyAlignment="1" applyBorder="1" applyFont="1">
      <alignment horizontal="center" readingOrder="0" vertical="center"/>
    </xf>
    <xf borderId="3" fillId="0" fontId="7" numFmtId="0" xfId="0" applyBorder="1" applyFont="1"/>
    <xf borderId="4" fillId="0" fontId="7" numFmtId="0" xfId="0" applyBorder="1" applyFont="1"/>
    <xf borderId="5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/>
    </xf>
    <xf borderId="4" fillId="0" fontId="4" numFmtId="0" xfId="0" applyAlignment="1" applyBorder="1" applyFont="1">
      <alignment horizontal="center" readingOrder="0" vertical="center"/>
    </xf>
    <xf borderId="10" fillId="0" fontId="4" numFmtId="0" xfId="0" applyAlignment="1" applyBorder="1" applyFont="1">
      <alignment horizontal="center" readingOrder="0" vertical="center"/>
    </xf>
    <xf borderId="11" fillId="0" fontId="7" numFmtId="0" xfId="0" applyBorder="1" applyFont="1"/>
    <xf borderId="0" fillId="0" fontId="8" numFmtId="0" xfId="0" applyAlignment="1" applyFont="1">
      <alignment horizontal="center" readingOrder="0" vertical="center"/>
    </xf>
    <xf borderId="11" fillId="0" fontId="4" numFmtId="0" xfId="0" applyAlignment="1" applyBorder="1" applyFont="1">
      <alignment horizontal="center" readingOrder="0" vertical="center"/>
    </xf>
    <xf borderId="12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13" fillId="0" fontId="10" numFmtId="0" xfId="0" applyAlignment="1" applyBorder="1" applyFont="1">
      <alignment horizontal="center" readingOrder="0" vertical="center"/>
    </xf>
    <xf borderId="14" fillId="0" fontId="7" numFmtId="0" xfId="0" applyBorder="1" applyFont="1"/>
    <xf borderId="15" fillId="0" fontId="7" numFmtId="0" xfId="0" applyBorder="1" applyFont="1"/>
    <xf borderId="0" fillId="0" fontId="11" numFmtId="0" xfId="0" applyAlignment="1" applyFont="1">
      <alignment horizontal="center" vertical="center"/>
    </xf>
    <xf borderId="0" fillId="2" fontId="11" numFmtId="0" xfId="0" applyAlignment="1" applyFont="1">
      <alignment horizontal="center" vertical="center"/>
    </xf>
    <xf borderId="0" fillId="3" fontId="11" numFmtId="0" xfId="0" applyAlignment="1" applyFont="1">
      <alignment horizontal="center" vertical="center"/>
    </xf>
    <xf borderId="0" fillId="2" fontId="11" numFmtId="0" xfId="0" applyAlignment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3" fontId="11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7.88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</v>
      </c>
      <c r="C3" s="2">
        <v>263.0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/>
      <c r="G1" s="3"/>
      <c r="H1" s="3"/>
      <c r="I1" s="3"/>
      <c r="J1" s="3"/>
      <c r="K1" s="3"/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>
        <v>28.0</v>
      </c>
      <c r="B2" s="3">
        <v>25.99</v>
      </c>
      <c r="C2" s="4">
        <v>8.15</v>
      </c>
      <c r="D2" s="3">
        <v>12.62</v>
      </c>
      <c r="E2" s="3">
        <v>5.22</v>
      </c>
      <c r="F2" s="3">
        <v>24.0</v>
      </c>
      <c r="G2" s="3"/>
      <c r="H2" s="3"/>
      <c r="I2" s="3"/>
      <c r="J2" s="3"/>
      <c r="K2" s="3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>
        <v>263.0</v>
      </c>
      <c r="B3" s="3">
        <v>79.71</v>
      </c>
      <c r="C3" s="4">
        <v>17.33</v>
      </c>
      <c r="D3" s="3">
        <v>41.46</v>
      </c>
      <c r="E3" s="3">
        <v>20.92</v>
      </c>
      <c r="F3" s="3">
        <v>12.0</v>
      </c>
      <c r="G3" s="3"/>
      <c r="H3" s="3"/>
      <c r="I3" s="3"/>
      <c r="J3" s="3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>
        <v>287.0</v>
      </c>
      <c r="B4" s="3">
        <v>121.73</v>
      </c>
      <c r="C4" s="4">
        <v>23.87</v>
      </c>
      <c r="D4" s="3">
        <v>76.37</v>
      </c>
      <c r="E4" s="3">
        <v>21.49</v>
      </c>
      <c r="F4" s="3">
        <v>3.0</v>
      </c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>
        <v>329.0</v>
      </c>
      <c r="B5" s="3">
        <v>29.47</v>
      </c>
      <c r="C5" s="4">
        <v>3.42</v>
      </c>
      <c r="D5" s="3">
        <v>16.99</v>
      </c>
      <c r="E5" s="3">
        <v>9.06</v>
      </c>
      <c r="F5" s="3">
        <v>25.0</v>
      </c>
      <c r="G5" s="3"/>
      <c r="H5" s="3"/>
      <c r="I5" s="3"/>
      <c r="J5" s="3"/>
      <c r="K5" s="3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>
        <v>353.0</v>
      </c>
      <c r="B6" s="3">
        <v>59.82</v>
      </c>
      <c r="C6" s="4">
        <v>8.83</v>
      </c>
      <c r="D6" s="3">
        <v>37.18</v>
      </c>
      <c r="E6" s="3">
        <v>13.81</v>
      </c>
      <c r="F6" s="3">
        <v>8.0</v>
      </c>
      <c r="G6" s="3"/>
      <c r="H6" s="3"/>
      <c r="I6" s="3"/>
      <c r="J6" s="3"/>
      <c r="K6" s="3"/>
      <c r="L6" s="3"/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>
        <v>358.0</v>
      </c>
      <c r="B7" s="3">
        <v>67.35</v>
      </c>
      <c r="C7" s="4">
        <v>15.76</v>
      </c>
      <c r="D7" s="3">
        <v>34.95</v>
      </c>
      <c r="E7" s="3">
        <v>16.64</v>
      </c>
      <c r="F7" s="3">
        <v>17.0</v>
      </c>
      <c r="G7" s="3"/>
      <c r="H7" s="3"/>
      <c r="I7" s="3"/>
      <c r="J7" s="3"/>
      <c r="K7" s="3"/>
      <c r="L7" s="3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>
        <v>496.0</v>
      </c>
      <c r="B8" s="3">
        <v>46.7</v>
      </c>
      <c r="C8" s="4">
        <v>6.82</v>
      </c>
      <c r="D8" s="3">
        <v>26.35</v>
      </c>
      <c r="E8" s="3">
        <v>13.53</v>
      </c>
      <c r="F8" s="3">
        <v>18.0</v>
      </c>
      <c r="G8" s="3"/>
      <c r="H8" s="3"/>
      <c r="I8" s="3"/>
      <c r="J8" s="3"/>
      <c r="K8" s="3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>
        <v>514.0</v>
      </c>
      <c r="B9" s="3">
        <v>9.13</v>
      </c>
      <c r="C9" s="3">
        <v>9.17</v>
      </c>
      <c r="D9" s="3">
        <v>0.81</v>
      </c>
      <c r="E9" s="3">
        <v>-0.85</v>
      </c>
      <c r="F9" s="3">
        <v>39.0</v>
      </c>
      <c r="G9" s="3"/>
      <c r="H9" s="3"/>
      <c r="I9" s="3"/>
      <c r="J9" s="3"/>
      <c r="K9" s="3"/>
      <c r="L9" s="3"/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>
        <v>527.0</v>
      </c>
      <c r="B10" s="3">
        <v>24.56</v>
      </c>
      <c r="C10" s="4">
        <v>9.14</v>
      </c>
      <c r="D10" s="3">
        <v>10.64</v>
      </c>
      <c r="E10" s="3">
        <v>4.78</v>
      </c>
      <c r="F10" s="3">
        <v>28.0</v>
      </c>
      <c r="G10" s="3"/>
      <c r="H10" s="3"/>
      <c r="I10" s="3"/>
      <c r="J10" s="3"/>
      <c r="K10" s="3"/>
      <c r="L10" s="3"/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>
        <v>533.0</v>
      </c>
      <c r="B11" s="3">
        <v>22.41</v>
      </c>
      <c r="C11" s="4">
        <v>9.65</v>
      </c>
      <c r="D11" s="3">
        <v>6.08</v>
      </c>
      <c r="E11" s="3">
        <v>6.68</v>
      </c>
      <c r="F11" s="3">
        <v>21.0</v>
      </c>
      <c r="G11" s="3"/>
      <c r="H11" s="3"/>
      <c r="I11" s="3"/>
      <c r="J11" s="3"/>
      <c r="K11" s="3"/>
      <c r="L11" s="3"/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>
        <v>545.0</v>
      </c>
      <c r="B12" s="3">
        <v>15.22</v>
      </c>
      <c r="C12" s="4">
        <v>5.44</v>
      </c>
      <c r="D12" s="3">
        <v>5.85</v>
      </c>
      <c r="E12" s="3">
        <v>3.92</v>
      </c>
      <c r="F12" s="3">
        <v>34.0</v>
      </c>
      <c r="G12" s="3"/>
      <c r="H12" s="3"/>
      <c r="I12" s="3"/>
      <c r="J12" s="3"/>
      <c r="K12" s="3"/>
      <c r="L12" s="3"/>
      <c r="M12" s="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>
        <v>564.0</v>
      </c>
      <c r="B13" s="3">
        <v>22.11</v>
      </c>
      <c r="C13" s="4">
        <v>6.22</v>
      </c>
      <c r="D13" s="3">
        <v>9.93</v>
      </c>
      <c r="E13" s="3">
        <v>5.97</v>
      </c>
      <c r="F13" s="3">
        <v>38.0</v>
      </c>
      <c r="G13" s="3"/>
      <c r="H13" s="3"/>
      <c r="I13" s="3"/>
      <c r="J13" s="3"/>
      <c r="K13" s="3"/>
      <c r="L13" s="3"/>
      <c r="M13" s="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>
        <v>569.0</v>
      </c>
      <c r="B14" s="3">
        <v>9.39</v>
      </c>
      <c r="C14" s="4">
        <v>8.55</v>
      </c>
      <c r="D14" s="3">
        <v>0.85</v>
      </c>
      <c r="E14" s="3">
        <v>-0.01</v>
      </c>
      <c r="F14" s="3">
        <v>30.0</v>
      </c>
      <c r="G14" s="3"/>
      <c r="H14" s="3"/>
      <c r="I14" s="3"/>
      <c r="J14" s="3"/>
      <c r="K14" s="3"/>
      <c r="L14" s="3"/>
      <c r="M14" s="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>
        <v>601.0</v>
      </c>
      <c r="B15" s="3">
        <v>5.46</v>
      </c>
      <c r="C15" s="4">
        <v>2.65</v>
      </c>
      <c r="D15" s="3">
        <v>-0.19</v>
      </c>
      <c r="E15" s="3">
        <v>3.0</v>
      </c>
      <c r="F15" s="3">
        <v>47.0</v>
      </c>
      <c r="G15" s="3"/>
      <c r="H15" s="3"/>
      <c r="I15" s="3"/>
      <c r="J15" s="3"/>
      <c r="K15" s="3"/>
      <c r="L15" s="3"/>
      <c r="M15" s="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>
        <v>806.0</v>
      </c>
      <c r="B16" s="3">
        <v>8.61</v>
      </c>
      <c r="C16" s="3">
        <v>4.13</v>
      </c>
      <c r="D16" s="3">
        <v>3.71</v>
      </c>
      <c r="E16" s="3">
        <v>0.77</v>
      </c>
      <c r="F16" s="3">
        <v>40.0</v>
      </c>
      <c r="G16" s="3"/>
      <c r="H16" s="3"/>
      <c r="I16" s="3"/>
      <c r="J16" s="3"/>
      <c r="K16" s="3"/>
      <c r="L16" s="3"/>
      <c r="M16" s="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>
        <v>810.0</v>
      </c>
      <c r="B17" s="3">
        <v>74.35</v>
      </c>
      <c r="C17" s="4">
        <v>19.87</v>
      </c>
      <c r="D17" s="3">
        <v>36.47</v>
      </c>
      <c r="E17" s="3">
        <v>18.01</v>
      </c>
      <c r="F17" s="3">
        <v>6.0</v>
      </c>
      <c r="G17" s="3"/>
      <c r="H17" s="3"/>
      <c r="I17" s="3"/>
      <c r="J17" s="3"/>
      <c r="K17" s="3"/>
      <c r="L17" s="3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>
        <v>870.0</v>
      </c>
      <c r="B18" s="3">
        <v>174.74</v>
      </c>
      <c r="C18" s="4">
        <v>46.69</v>
      </c>
      <c r="D18" s="3">
        <v>94.46</v>
      </c>
      <c r="E18" s="3">
        <v>33.59</v>
      </c>
      <c r="F18" s="3">
        <v>2.0</v>
      </c>
      <c r="G18" s="3"/>
      <c r="H18" s="3"/>
      <c r="I18" s="3"/>
      <c r="J18" s="3"/>
      <c r="K18" s="3"/>
      <c r="L18" s="3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>
        <v>871.0</v>
      </c>
      <c r="B19" s="3">
        <v>38.67</v>
      </c>
      <c r="C19" s="3">
        <v>13.07</v>
      </c>
      <c r="D19" s="3">
        <v>18.13</v>
      </c>
      <c r="E19" s="3">
        <v>7.46</v>
      </c>
      <c r="F19" s="3">
        <v>32.0</v>
      </c>
      <c r="G19" s="3"/>
      <c r="H19" s="3"/>
      <c r="I19" s="3"/>
      <c r="J19" s="3"/>
      <c r="K19" s="3"/>
      <c r="L19" s="3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>
        <v>884.0</v>
      </c>
      <c r="B20" s="3">
        <v>15.99</v>
      </c>
      <c r="C20" s="3">
        <v>2.93</v>
      </c>
      <c r="D20" s="3">
        <v>4.72</v>
      </c>
      <c r="E20" s="3">
        <v>8.34</v>
      </c>
      <c r="F20" s="3">
        <v>37.0</v>
      </c>
      <c r="G20" s="3"/>
      <c r="H20" s="3"/>
      <c r="I20" s="3"/>
      <c r="J20" s="3"/>
      <c r="K20" s="3"/>
      <c r="L20" s="3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>
        <v>1468.0</v>
      </c>
      <c r="B21" s="3">
        <v>43.6</v>
      </c>
      <c r="C21" s="3">
        <v>10.57</v>
      </c>
      <c r="D21" s="3">
        <v>23.09</v>
      </c>
      <c r="E21" s="3">
        <v>9.94</v>
      </c>
      <c r="F21" s="3">
        <v>11.0</v>
      </c>
      <c r="G21" s="3"/>
      <c r="H21" s="3"/>
      <c r="I21" s="3"/>
      <c r="J21" s="3"/>
      <c r="K21" s="3"/>
      <c r="L21" s="3"/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>
        <v>1546.0</v>
      </c>
      <c r="B22" s="3">
        <v>33.62</v>
      </c>
      <c r="C22" s="4">
        <v>9.41</v>
      </c>
      <c r="D22" s="3">
        <v>17.42</v>
      </c>
      <c r="E22" s="3">
        <v>6.78</v>
      </c>
      <c r="F22" s="3">
        <v>14.0</v>
      </c>
      <c r="G22" s="3"/>
      <c r="H22" s="3"/>
      <c r="I22" s="3"/>
      <c r="J22" s="3"/>
      <c r="K22" s="3"/>
      <c r="L22" s="3"/>
      <c r="M22" s="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>
        <v>1554.0</v>
      </c>
      <c r="B23" s="3">
        <v>44.18</v>
      </c>
      <c r="C23" s="4">
        <v>11.06</v>
      </c>
      <c r="D23" s="3">
        <v>31.23</v>
      </c>
      <c r="E23" s="3">
        <v>1.89</v>
      </c>
      <c r="F23" s="3">
        <v>9.0</v>
      </c>
      <c r="G23" s="3"/>
      <c r="H23" s="3"/>
      <c r="I23" s="3"/>
      <c r="J23" s="3"/>
      <c r="K23" s="3"/>
      <c r="L23" s="3"/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>
        <v>1803.0</v>
      </c>
      <c r="B24" s="3">
        <v>27.5</v>
      </c>
      <c r="C24" s="3">
        <v>7.49</v>
      </c>
      <c r="D24" s="3">
        <v>14.61</v>
      </c>
      <c r="E24" s="3">
        <v>5.39</v>
      </c>
      <c r="F24" s="3">
        <v>19.0</v>
      </c>
      <c r="G24" s="3"/>
      <c r="H24" s="3"/>
      <c r="I24" s="3"/>
      <c r="J24" s="3"/>
      <c r="K24" s="3"/>
      <c r="L24" s="3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>
        <v>1880.0</v>
      </c>
      <c r="B25" s="3">
        <v>74.96</v>
      </c>
      <c r="C25" s="4">
        <v>11.69</v>
      </c>
      <c r="D25" s="3">
        <v>45.83</v>
      </c>
      <c r="E25" s="3">
        <v>17.44</v>
      </c>
      <c r="F25" s="3">
        <v>4.0</v>
      </c>
      <c r="G25" s="3"/>
      <c r="H25" s="3"/>
      <c r="I25" s="3"/>
      <c r="J25" s="3"/>
      <c r="K25" s="3"/>
      <c r="L25" s="3"/>
      <c r="M25" s="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>
        <v>2027.0</v>
      </c>
      <c r="B26" s="3">
        <v>20.95</v>
      </c>
      <c r="C26" s="3">
        <v>7.32</v>
      </c>
      <c r="D26" s="3">
        <v>9.36</v>
      </c>
      <c r="E26" s="3">
        <v>4.27</v>
      </c>
      <c r="F26" s="3">
        <v>41.0</v>
      </c>
      <c r="G26" s="3"/>
      <c r="H26" s="3"/>
      <c r="I26" s="3"/>
      <c r="J26" s="3"/>
      <c r="K26" s="3"/>
      <c r="L26" s="3"/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>
        <v>2161.0</v>
      </c>
      <c r="B27" s="3">
        <v>22.68</v>
      </c>
      <c r="C27" s="3">
        <v>7.51</v>
      </c>
      <c r="D27" s="3">
        <v>11.49</v>
      </c>
      <c r="E27" s="3">
        <v>3.68</v>
      </c>
      <c r="F27" s="3">
        <v>23.0</v>
      </c>
      <c r="G27" s="3"/>
      <c r="H27" s="3"/>
      <c r="I27" s="3"/>
      <c r="J27" s="3"/>
      <c r="K27" s="3"/>
      <c r="L27" s="3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>
        <v>2347.0</v>
      </c>
      <c r="B28" s="3">
        <v>20.29</v>
      </c>
      <c r="C28" s="3">
        <v>6.65</v>
      </c>
      <c r="D28" s="3">
        <v>10.59</v>
      </c>
      <c r="E28" s="3">
        <v>3.05</v>
      </c>
      <c r="F28" s="3">
        <v>20.0</v>
      </c>
      <c r="G28" s="3"/>
      <c r="H28" s="3"/>
      <c r="I28" s="3"/>
      <c r="J28" s="3"/>
      <c r="K28" s="3"/>
      <c r="L28" s="3"/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>
        <v>2487.0</v>
      </c>
      <c r="B29" s="3">
        <v>11.38</v>
      </c>
      <c r="C29" s="4">
        <v>1.99</v>
      </c>
      <c r="D29" s="3">
        <v>4.77</v>
      </c>
      <c r="E29" s="3">
        <v>4.62</v>
      </c>
      <c r="F29" s="3">
        <v>45.0</v>
      </c>
      <c r="G29" s="3"/>
      <c r="H29" s="3"/>
      <c r="I29" s="3"/>
      <c r="J29" s="3"/>
      <c r="K29" s="3"/>
      <c r="L29" s="3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>
        <v>2638.0</v>
      </c>
      <c r="B30" s="3">
        <v>130.91</v>
      </c>
      <c r="C30" s="4">
        <v>28.57</v>
      </c>
      <c r="D30" s="3">
        <v>75.29</v>
      </c>
      <c r="E30" s="3">
        <v>27.06</v>
      </c>
      <c r="F30" s="3">
        <v>5.0</v>
      </c>
      <c r="G30" s="3"/>
      <c r="H30" s="3"/>
      <c r="I30" s="3"/>
      <c r="J30" s="3"/>
      <c r="K30" s="3"/>
      <c r="L30" s="3"/>
      <c r="M30" s="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>
        <v>2869.0</v>
      </c>
      <c r="B31" s="3">
        <v>41.7</v>
      </c>
      <c r="C31" s="3">
        <v>10.96</v>
      </c>
      <c r="D31" s="3">
        <v>25.49</v>
      </c>
      <c r="E31" s="3">
        <v>5.24</v>
      </c>
      <c r="F31" s="3">
        <v>36.0</v>
      </c>
      <c r="G31" s="3"/>
      <c r="H31" s="3"/>
      <c r="I31" s="3"/>
      <c r="J31" s="3"/>
      <c r="K31" s="3"/>
      <c r="L31" s="3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>
        <v>2872.0</v>
      </c>
      <c r="B32" s="3">
        <v>113.91</v>
      </c>
      <c r="C32" s="3">
        <v>19.09</v>
      </c>
      <c r="D32" s="3">
        <v>70.65</v>
      </c>
      <c r="E32" s="3">
        <v>24.17</v>
      </c>
      <c r="F32" s="3">
        <v>7.0</v>
      </c>
      <c r="G32" s="3"/>
      <c r="H32" s="3"/>
      <c r="I32" s="3"/>
      <c r="J32" s="3"/>
      <c r="K32" s="3"/>
      <c r="L32" s="3"/>
      <c r="M32" s="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>
        <v>2875.0</v>
      </c>
      <c r="B33" s="3">
        <v>48.38</v>
      </c>
      <c r="C33" s="3">
        <v>11.41</v>
      </c>
      <c r="D33" s="3">
        <v>24.35</v>
      </c>
      <c r="E33" s="3">
        <v>12.61</v>
      </c>
      <c r="F33" s="3">
        <v>29.0</v>
      </c>
      <c r="G33" s="3"/>
      <c r="H33" s="3"/>
      <c r="I33" s="3"/>
      <c r="J33" s="3"/>
      <c r="K33" s="3"/>
      <c r="L33" s="3"/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>
        <v>3137.0</v>
      </c>
      <c r="B34" s="3">
        <v>23.54</v>
      </c>
      <c r="C34" s="3">
        <v>9.55</v>
      </c>
      <c r="D34" s="3">
        <v>6.95</v>
      </c>
      <c r="E34" s="3">
        <v>7.05</v>
      </c>
      <c r="F34" s="3">
        <v>42.0</v>
      </c>
      <c r="G34" s="3"/>
      <c r="H34" s="3"/>
      <c r="I34" s="3"/>
      <c r="J34" s="3"/>
      <c r="K34" s="3"/>
      <c r="L34" s="3"/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>
        <v>3171.0</v>
      </c>
      <c r="B35" s="3">
        <v>23.49</v>
      </c>
      <c r="C35" s="3">
        <v>5.7</v>
      </c>
      <c r="D35" s="3">
        <v>6.86</v>
      </c>
      <c r="E35" s="3">
        <v>10.92</v>
      </c>
      <c r="F35" s="3">
        <v>48.0</v>
      </c>
      <c r="G35" s="3"/>
      <c r="H35" s="3"/>
      <c r="I35" s="3"/>
      <c r="J35" s="3"/>
      <c r="K35" s="3"/>
      <c r="L35" s="3"/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>
        <v>3624.0</v>
      </c>
      <c r="B36" s="3">
        <v>24.96</v>
      </c>
      <c r="C36" s="3">
        <v>6.29</v>
      </c>
      <c r="D36" s="3">
        <v>15.46</v>
      </c>
      <c r="E36" s="3">
        <v>3.21</v>
      </c>
      <c r="F36" s="3">
        <v>44.0</v>
      </c>
      <c r="G36" s="3"/>
      <c r="H36" s="3"/>
      <c r="I36" s="3"/>
      <c r="J36" s="3"/>
      <c r="K36" s="3"/>
      <c r="L36" s="3"/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>
        <v>3950.0</v>
      </c>
      <c r="B37" s="3">
        <v>77.52</v>
      </c>
      <c r="C37" s="4">
        <v>21.16</v>
      </c>
      <c r="D37" s="3">
        <v>42.31</v>
      </c>
      <c r="E37" s="3">
        <v>14.06</v>
      </c>
      <c r="F37" s="3">
        <v>16.0</v>
      </c>
      <c r="G37" s="3"/>
      <c r="H37" s="3"/>
      <c r="I37" s="3"/>
      <c r="J37" s="3"/>
      <c r="K37" s="3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>
        <v>4458.0</v>
      </c>
      <c r="B38" s="3">
        <v>43.67</v>
      </c>
      <c r="C38" s="3">
        <v>9.36</v>
      </c>
      <c r="D38" s="3">
        <v>19.57</v>
      </c>
      <c r="E38" s="3">
        <v>14.73</v>
      </c>
      <c r="F38" s="3">
        <v>10.0</v>
      </c>
      <c r="G38" s="3"/>
      <c r="H38" s="3"/>
      <c r="I38" s="3"/>
      <c r="J38" s="3"/>
      <c r="K38" s="3"/>
      <c r="L38" s="3"/>
      <c r="M38" s="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>
        <v>4567.0</v>
      </c>
      <c r="B39" s="3">
        <v>11.72</v>
      </c>
      <c r="C39" s="3">
        <v>4.35</v>
      </c>
      <c r="D39" s="3">
        <v>5.12</v>
      </c>
      <c r="E39" s="3">
        <v>2.25</v>
      </c>
      <c r="F39" s="3">
        <v>43.0</v>
      </c>
      <c r="G39" s="3"/>
      <c r="H39" s="3"/>
      <c r="I39" s="3"/>
      <c r="J39" s="3"/>
      <c r="K39" s="3"/>
      <c r="L39" s="3"/>
      <c r="M39" s="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>
        <v>5016.0</v>
      </c>
      <c r="B40" s="3">
        <v>37.67</v>
      </c>
      <c r="C40" s="4">
        <v>5.71</v>
      </c>
      <c r="D40" s="3">
        <v>20.44</v>
      </c>
      <c r="E40" s="3">
        <v>11.52</v>
      </c>
      <c r="F40" s="3">
        <v>46.0</v>
      </c>
      <c r="G40" s="3"/>
      <c r="H40" s="3"/>
      <c r="I40" s="3"/>
      <c r="J40" s="3"/>
      <c r="K40" s="3"/>
      <c r="L40" s="3"/>
      <c r="M40" s="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>
        <v>5736.0</v>
      </c>
      <c r="B41" s="3">
        <v>225.59</v>
      </c>
      <c r="C41" s="4">
        <v>63.46</v>
      </c>
      <c r="D41" s="3">
        <v>116.46</v>
      </c>
      <c r="E41" s="3">
        <v>45.66</v>
      </c>
      <c r="F41" s="3">
        <v>1.0</v>
      </c>
      <c r="G41" s="3"/>
      <c r="H41" s="3"/>
      <c r="I41" s="3"/>
      <c r="J41" s="3"/>
      <c r="K41" s="3"/>
      <c r="L41" s="3"/>
      <c r="M41" s="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>
        <v>6423.0</v>
      </c>
      <c r="B42" s="3">
        <v>50.75</v>
      </c>
      <c r="C42" s="3">
        <v>5.28</v>
      </c>
      <c r="D42" s="3">
        <v>30.25</v>
      </c>
      <c r="E42" s="3">
        <v>15.22</v>
      </c>
      <c r="F42" s="3">
        <v>13.0</v>
      </c>
      <c r="G42" s="3"/>
      <c r="H42" s="3"/>
      <c r="I42" s="3"/>
      <c r="J42" s="3"/>
      <c r="K42" s="3"/>
      <c r="L42" s="3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>
        <v>6806.0</v>
      </c>
      <c r="B43" s="3">
        <v>36.75</v>
      </c>
      <c r="C43" s="3">
        <v>6.63</v>
      </c>
      <c r="D43" s="3">
        <v>21.63</v>
      </c>
      <c r="E43" s="3">
        <v>8.5</v>
      </c>
      <c r="F43" s="3">
        <v>31.0</v>
      </c>
      <c r="G43" s="3"/>
      <c r="H43" s="3"/>
      <c r="I43" s="3"/>
      <c r="J43" s="3"/>
      <c r="K43" s="3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>
        <v>7673.0</v>
      </c>
      <c r="B44" s="3">
        <v>18.33</v>
      </c>
      <c r="C44" s="4">
        <v>4.38</v>
      </c>
      <c r="D44" s="3">
        <v>6.59</v>
      </c>
      <c r="E44" s="3">
        <v>7.36</v>
      </c>
      <c r="F44" s="3">
        <v>33.0</v>
      </c>
      <c r="G44" s="3"/>
      <c r="H44" s="3"/>
      <c r="I44" s="3"/>
      <c r="J44" s="3"/>
      <c r="K44" s="3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>
        <v>8267.0</v>
      </c>
      <c r="B45" s="3">
        <v>124.23</v>
      </c>
      <c r="C45" s="4">
        <v>28.83</v>
      </c>
      <c r="D45" s="3">
        <v>67.1</v>
      </c>
      <c r="E45" s="3">
        <v>28.3</v>
      </c>
      <c r="F45" s="3">
        <v>15.0</v>
      </c>
      <c r="G45" s="3"/>
      <c r="H45" s="3"/>
      <c r="I45" s="3"/>
      <c r="J45" s="3"/>
      <c r="K45" s="3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>
        <v>9016.0</v>
      </c>
      <c r="B46" s="3">
        <v>39.71</v>
      </c>
      <c r="C46" s="4">
        <v>13.26</v>
      </c>
      <c r="D46" s="3">
        <v>15.76</v>
      </c>
      <c r="E46" s="3">
        <v>10.7</v>
      </c>
      <c r="F46" s="3">
        <v>35.0</v>
      </c>
      <c r="G46" s="3"/>
      <c r="H46" s="3"/>
      <c r="I46" s="3"/>
      <c r="J46" s="3"/>
      <c r="K46" s="3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>
        <v>9646.0</v>
      </c>
      <c r="B47" s="3">
        <v>38.43</v>
      </c>
      <c r="C47" s="3">
        <v>7.46</v>
      </c>
      <c r="D47" s="3">
        <v>23.0</v>
      </c>
      <c r="E47" s="3">
        <v>7.98</v>
      </c>
      <c r="F47" s="3">
        <v>22.0</v>
      </c>
      <c r="G47" s="3"/>
      <c r="H47" s="3"/>
      <c r="I47" s="3"/>
      <c r="J47" s="3"/>
      <c r="K47" s="3"/>
      <c r="L47" s="3"/>
      <c r="M47" s="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>
        <v>10621.0</v>
      </c>
      <c r="B48" s="3">
        <v>17.39</v>
      </c>
      <c r="C48" s="3">
        <v>5.48</v>
      </c>
      <c r="D48" s="3">
        <v>3.76</v>
      </c>
      <c r="E48" s="3">
        <v>8.15</v>
      </c>
      <c r="F48" s="3">
        <v>26.0</v>
      </c>
      <c r="G48" s="3"/>
      <c r="H48" s="3"/>
      <c r="I48" s="3"/>
      <c r="J48" s="3"/>
      <c r="K48" s="3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>
        <v>11030.0</v>
      </c>
      <c r="B49" s="3">
        <v>46.81</v>
      </c>
      <c r="C49" s="3">
        <v>7.23</v>
      </c>
      <c r="D49" s="3">
        <v>28.7</v>
      </c>
      <c r="E49" s="3">
        <v>10.88</v>
      </c>
      <c r="F49" s="3">
        <v>27.0</v>
      </c>
      <c r="G49" s="3"/>
      <c r="H49" s="3"/>
      <c r="I49" s="3"/>
      <c r="J49" s="3"/>
      <c r="K49" s="3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4"/>
      <c r="D50" s="3"/>
      <c r="E50" s="3"/>
      <c r="F50" s="3"/>
      <c r="G50" s="3"/>
      <c r="H50" s="3"/>
      <c r="I50" s="3"/>
      <c r="J50" s="3"/>
      <c r="K50" s="3"/>
      <c r="L50" s="3"/>
      <c r="M50" s="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4"/>
      <c r="D57" s="3"/>
      <c r="E57" s="3"/>
      <c r="F57" s="3"/>
      <c r="G57" s="3"/>
      <c r="H57" s="3"/>
      <c r="I57" s="3"/>
      <c r="J57" s="3"/>
      <c r="K57" s="3"/>
      <c r="L57" s="3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4"/>
      <c r="D58" s="3"/>
      <c r="E58" s="3"/>
      <c r="F58" s="3"/>
      <c r="G58" s="3"/>
      <c r="H58" s="3"/>
      <c r="I58" s="3"/>
      <c r="J58" s="3"/>
      <c r="K58" s="3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5"/>
      <c r="B62" s="5"/>
      <c r="C62" s="5"/>
      <c r="D62" s="5"/>
      <c r="E62" s="5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5"/>
      <c r="B63" s="5"/>
      <c r="C63" s="5"/>
      <c r="D63" s="5"/>
      <c r="E63" s="5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5"/>
      <c r="B64" s="5"/>
      <c r="C64" s="5"/>
      <c r="D64" s="5"/>
      <c r="E64" s="5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5"/>
      <c r="B65" s="5"/>
      <c r="C65" s="5"/>
      <c r="D65" s="5"/>
      <c r="E65" s="5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5"/>
      <c r="B66" s="5"/>
      <c r="C66" s="5"/>
      <c r="D66" s="5"/>
      <c r="E66" s="5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5"/>
      <c r="B67" s="5"/>
      <c r="C67" s="5"/>
      <c r="D67" s="5"/>
      <c r="E67" s="5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5"/>
      <c r="B68" s="5"/>
      <c r="C68" s="5"/>
      <c r="D68" s="5"/>
      <c r="E68" s="5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5"/>
      <c r="B69" s="5"/>
      <c r="C69" s="5"/>
      <c r="D69" s="5"/>
      <c r="E69" s="5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5"/>
      <c r="B70" s="5"/>
      <c r="C70" s="5"/>
      <c r="D70" s="5"/>
      <c r="E70" s="5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5"/>
      <c r="B71" s="5"/>
      <c r="C71" s="5"/>
      <c r="D71" s="5"/>
      <c r="E71" s="5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5"/>
      <c r="B72" s="5"/>
      <c r="C72" s="5"/>
      <c r="D72" s="5"/>
      <c r="E72" s="5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5"/>
      <c r="B73" s="5"/>
      <c r="C73" s="5"/>
      <c r="D73" s="5"/>
      <c r="E73" s="5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5"/>
      <c r="B74" s="5"/>
      <c r="C74" s="5"/>
      <c r="D74" s="5"/>
      <c r="E74" s="5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5"/>
      <c r="B75" s="5"/>
      <c r="C75" s="5"/>
      <c r="D75" s="5"/>
      <c r="E75" s="5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5"/>
      <c r="B76" s="5"/>
      <c r="C76" s="5"/>
      <c r="D76" s="5"/>
      <c r="E76" s="5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5"/>
      <c r="B77" s="5"/>
      <c r="C77" s="5"/>
      <c r="D77" s="5"/>
      <c r="E77" s="5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5"/>
      <c r="B78" s="5"/>
      <c r="C78" s="5"/>
      <c r="D78" s="5"/>
      <c r="E78" s="5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5"/>
      <c r="B79" s="5"/>
      <c r="C79" s="5"/>
      <c r="D79" s="5"/>
      <c r="E79" s="5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5"/>
      <c r="B80" s="5"/>
      <c r="C80" s="5"/>
      <c r="D80" s="5"/>
      <c r="E80" s="5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5"/>
      <c r="B81" s="5"/>
      <c r="C81" s="5"/>
      <c r="D81" s="5"/>
      <c r="E81" s="5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5"/>
      <c r="B82" s="5"/>
      <c r="C82" s="5"/>
      <c r="D82" s="5"/>
      <c r="E82" s="5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5"/>
      <c r="B83" s="5"/>
      <c r="C83" s="5"/>
      <c r="D83" s="5"/>
      <c r="E83" s="5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5"/>
      <c r="B84" s="5"/>
      <c r="C84" s="5"/>
      <c r="D84" s="5"/>
      <c r="E84" s="5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5"/>
      <c r="B85" s="5"/>
      <c r="C85" s="5"/>
      <c r="D85" s="5"/>
      <c r="E85" s="5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5"/>
      <c r="B86" s="5"/>
      <c r="C86" s="5"/>
      <c r="D86" s="5"/>
      <c r="E86" s="5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5"/>
      <c r="B87" s="5"/>
      <c r="C87" s="5"/>
      <c r="D87" s="5"/>
      <c r="E87" s="5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5"/>
      <c r="B88" s="5"/>
      <c r="C88" s="5"/>
      <c r="D88" s="5"/>
      <c r="E88" s="5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5"/>
      <c r="B89" s="5"/>
      <c r="C89" s="5"/>
      <c r="D89" s="5"/>
      <c r="E89" s="5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5"/>
      <c r="B90" s="5"/>
      <c r="C90" s="5"/>
      <c r="D90" s="5"/>
      <c r="E90" s="5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5"/>
      <c r="B91" s="5"/>
      <c r="C91" s="5"/>
      <c r="D91" s="5"/>
      <c r="E91" s="5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5"/>
      <c r="B92" s="5"/>
      <c r="C92" s="5"/>
      <c r="D92" s="5"/>
      <c r="E92" s="5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5"/>
      <c r="B93" s="5"/>
      <c r="C93" s="5"/>
      <c r="D93" s="5"/>
      <c r="E93" s="5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5"/>
      <c r="B94" s="5"/>
      <c r="C94" s="5"/>
      <c r="D94" s="5"/>
      <c r="E94" s="5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5"/>
      <c r="B95" s="5"/>
      <c r="C95" s="5"/>
      <c r="D95" s="5"/>
      <c r="E95" s="5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5"/>
      <c r="B96" s="5"/>
      <c r="C96" s="5"/>
      <c r="D96" s="5"/>
      <c r="E96" s="5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5"/>
      <c r="B97" s="5"/>
      <c r="C97" s="5"/>
      <c r="D97" s="5"/>
      <c r="E97" s="5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5"/>
      <c r="B98" s="5"/>
      <c r="C98" s="5"/>
      <c r="D98" s="5"/>
      <c r="E98" s="5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5"/>
      <c r="B99" s="5"/>
      <c r="C99" s="5"/>
      <c r="D99" s="5"/>
      <c r="E99" s="5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5"/>
      <c r="B100" s="5"/>
      <c r="C100" s="5"/>
      <c r="D100" s="5"/>
      <c r="E100" s="5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5"/>
      <c r="B101" s="5"/>
      <c r="C101" s="5"/>
      <c r="D101" s="5"/>
      <c r="E101" s="5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5"/>
      <c r="B102" s="5"/>
      <c r="C102" s="5"/>
      <c r="D102" s="5"/>
      <c r="E102" s="5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5"/>
      <c r="B103" s="5"/>
      <c r="C103" s="5"/>
      <c r="D103" s="5"/>
      <c r="E103" s="5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5"/>
      <c r="B104" s="5"/>
      <c r="C104" s="5"/>
      <c r="D104" s="5"/>
      <c r="E104" s="5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5"/>
      <c r="B105" s="5"/>
      <c r="C105" s="5"/>
      <c r="D105" s="5"/>
      <c r="E105" s="5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5"/>
      <c r="B106" s="5"/>
      <c r="C106" s="5"/>
      <c r="D106" s="5"/>
      <c r="E106" s="5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5"/>
      <c r="B107" s="5"/>
      <c r="C107" s="5"/>
      <c r="D107" s="5"/>
      <c r="E107" s="5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5"/>
      <c r="B108" s="5"/>
      <c r="C108" s="5"/>
      <c r="D108" s="5"/>
      <c r="E108" s="5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5"/>
      <c r="B109" s="5"/>
      <c r="C109" s="5"/>
      <c r="D109" s="5"/>
      <c r="E109" s="5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5"/>
      <c r="B110" s="5"/>
      <c r="C110" s="5"/>
      <c r="D110" s="5"/>
      <c r="E110" s="5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5"/>
      <c r="B111" s="5"/>
      <c r="C111" s="5"/>
      <c r="D111" s="5"/>
      <c r="E111" s="5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5"/>
      <c r="B112" s="5"/>
      <c r="C112" s="5"/>
      <c r="D112" s="5"/>
      <c r="E112" s="5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5"/>
      <c r="B113" s="5"/>
      <c r="C113" s="5"/>
      <c r="D113" s="5"/>
      <c r="E113" s="5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5"/>
      <c r="B114" s="5"/>
      <c r="C114" s="5"/>
      <c r="D114" s="5"/>
      <c r="E114" s="5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5"/>
      <c r="B115" s="5"/>
      <c r="C115" s="5"/>
      <c r="D115" s="5"/>
      <c r="E115" s="5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5"/>
      <c r="B116" s="5"/>
      <c r="C116" s="5"/>
      <c r="D116" s="5"/>
      <c r="E116" s="5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5"/>
      <c r="B117" s="5"/>
      <c r="C117" s="5"/>
      <c r="D117" s="5"/>
      <c r="E117" s="5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5"/>
      <c r="B118" s="5"/>
      <c r="C118" s="5"/>
      <c r="D118" s="5"/>
      <c r="E118" s="5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5"/>
      <c r="B119" s="5"/>
      <c r="C119" s="5"/>
      <c r="D119" s="5"/>
      <c r="E119" s="5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5"/>
      <c r="B120" s="5"/>
      <c r="C120" s="5"/>
      <c r="D120" s="5"/>
      <c r="E120" s="5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5"/>
      <c r="B121" s="5"/>
      <c r="C121" s="5"/>
      <c r="D121" s="5"/>
      <c r="E121" s="5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5"/>
      <c r="B122" s="5"/>
      <c r="C122" s="5"/>
      <c r="D122" s="5"/>
      <c r="E122" s="5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5"/>
      <c r="B123" s="5"/>
      <c r="C123" s="5"/>
      <c r="D123" s="5"/>
      <c r="E123" s="5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5"/>
      <c r="B124" s="5"/>
      <c r="C124" s="5"/>
      <c r="D124" s="5"/>
      <c r="E124" s="5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5"/>
      <c r="B125" s="5"/>
      <c r="C125" s="5"/>
      <c r="D125" s="5"/>
      <c r="E125" s="5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5"/>
      <c r="B126" s="5"/>
      <c r="C126" s="5"/>
      <c r="D126" s="5"/>
      <c r="E126" s="5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5"/>
      <c r="B127" s="5"/>
      <c r="C127" s="5"/>
      <c r="D127" s="5"/>
      <c r="E127" s="5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5"/>
      <c r="B128" s="5"/>
      <c r="C128" s="5"/>
      <c r="D128" s="5"/>
      <c r="E128" s="5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5"/>
      <c r="B129" s="5"/>
      <c r="C129" s="5"/>
      <c r="D129" s="5"/>
      <c r="E129" s="5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5"/>
      <c r="B130" s="5"/>
      <c r="C130" s="5"/>
      <c r="D130" s="5"/>
      <c r="E130" s="5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5"/>
      <c r="B131" s="5"/>
      <c r="C131" s="5"/>
      <c r="D131" s="5"/>
      <c r="E131" s="5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5"/>
      <c r="B132" s="5"/>
      <c r="C132" s="5"/>
      <c r="D132" s="5"/>
      <c r="E132" s="5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5"/>
      <c r="B133" s="5"/>
      <c r="C133" s="5"/>
      <c r="D133" s="5"/>
      <c r="E133" s="5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5"/>
      <c r="B134" s="5"/>
      <c r="C134" s="5"/>
      <c r="D134" s="5"/>
      <c r="E134" s="5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5"/>
      <c r="B135" s="5"/>
      <c r="C135" s="5"/>
      <c r="D135" s="5"/>
      <c r="E135" s="5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5"/>
      <c r="B136" s="5"/>
      <c r="C136" s="5"/>
      <c r="D136" s="5"/>
      <c r="E136" s="5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5"/>
      <c r="B137" s="5"/>
      <c r="C137" s="5"/>
      <c r="D137" s="5"/>
      <c r="E137" s="5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5"/>
      <c r="B138" s="5"/>
      <c r="C138" s="5"/>
      <c r="D138" s="5"/>
      <c r="E138" s="5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5"/>
      <c r="B139" s="5"/>
      <c r="C139" s="5"/>
      <c r="D139" s="5"/>
      <c r="E139" s="5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5"/>
      <c r="B140" s="5"/>
      <c r="C140" s="5"/>
      <c r="D140" s="5"/>
      <c r="E140" s="5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5"/>
      <c r="B141" s="5"/>
      <c r="C141" s="5"/>
      <c r="D141" s="5"/>
      <c r="E141" s="5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5"/>
      <c r="B142" s="5"/>
      <c r="C142" s="5"/>
      <c r="D142" s="5"/>
      <c r="E142" s="5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5"/>
      <c r="B143" s="5"/>
      <c r="C143" s="5"/>
      <c r="D143" s="5"/>
      <c r="E143" s="5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5"/>
      <c r="B144" s="5"/>
      <c r="C144" s="5"/>
      <c r="D144" s="5"/>
      <c r="E144" s="5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5"/>
      <c r="B145" s="5"/>
      <c r="C145" s="5"/>
      <c r="D145" s="5"/>
      <c r="E145" s="5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5"/>
      <c r="B146" s="5"/>
      <c r="C146" s="5"/>
      <c r="D146" s="5"/>
      <c r="E146" s="5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5"/>
      <c r="B147" s="5"/>
      <c r="C147" s="5"/>
      <c r="D147" s="5"/>
      <c r="E147" s="5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5"/>
      <c r="B148" s="5"/>
      <c r="C148" s="5"/>
      <c r="D148" s="5"/>
      <c r="E148" s="5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5"/>
      <c r="B149" s="5"/>
      <c r="C149" s="5"/>
      <c r="D149" s="5"/>
      <c r="E149" s="5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5"/>
      <c r="B150" s="5"/>
      <c r="C150" s="5"/>
      <c r="D150" s="5"/>
      <c r="E150" s="5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5"/>
      <c r="B151" s="5"/>
      <c r="C151" s="5"/>
      <c r="D151" s="5"/>
      <c r="E151" s="5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5"/>
      <c r="B152" s="5"/>
      <c r="C152" s="5"/>
      <c r="D152" s="5"/>
      <c r="E152" s="5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5"/>
      <c r="B153" s="5"/>
      <c r="C153" s="5"/>
      <c r="D153" s="5"/>
      <c r="E153" s="5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5"/>
      <c r="B154" s="5"/>
      <c r="C154" s="5"/>
      <c r="D154" s="5"/>
      <c r="E154" s="5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5"/>
      <c r="B155" s="5"/>
      <c r="C155" s="5"/>
      <c r="D155" s="5"/>
      <c r="E155" s="5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5"/>
      <c r="B156" s="5"/>
      <c r="C156" s="5"/>
      <c r="D156" s="5"/>
      <c r="E156" s="5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5"/>
      <c r="B157" s="5"/>
      <c r="C157" s="5"/>
      <c r="D157" s="5"/>
      <c r="E157" s="5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5"/>
      <c r="B158" s="5"/>
      <c r="C158" s="5"/>
      <c r="D158" s="5"/>
      <c r="E158" s="5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5"/>
      <c r="B159" s="5"/>
      <c r="C159" s="5"/>
      <c r="D159" s="5"/>
      <c r="E159" s="5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5"/>
      <c r="B160" s="5"/>
      <c r="C160" s="5"/>
      <c r="D160" s="5"/>
      <c r="E160" s="5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5"/>
      <c r="B161" s="5"/>
      <c r="C161" s="5"/>
      <c r="D161" s="5"/>
      <c r="E161" s="5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5"/>
      <c r="B162" s="5"/>
      <c r="C162" s="5"/>
      <c r="D162" s="5"/>
      <c r="E162" s="5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5"/>
      <c r="B163" s="5"/>
      <c r="C163" s="5"/>
      <c r="D163" s="5"/>
      <c r="E163" s="5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5"/>
      <c r="B164" s="5"/>
      <c r="C164" s="5"/>
      <c r="D164" s="5"/>
      <c r="E164" s="5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5"/>
      <c r="B165" s="5"/>
      <c r="C165" s="5"/>
      <c r="D165" s="5"/>
      <c r="E165" s="5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5"/>
      <c r="B166" s="5"/>
      <c r="C166" s="5"/>
      <c r="D166" s="5"/>
      <c r="E166" s="5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5"/>
      <c r="B167" s="5"/>
      <c r="C167" s="5"/>
      <c r="D167" s="5"/>
      <c r="E167" s="5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5"/>
      <c r="B168" s="5"/>
      <c r="C168" s="5"/>
      <c r="D168" s="5"/>
      <c r="E168" s="5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5"/>
      <c r="B169" s="5"/>
      <c r="C169" s="5"/>
      <c r="D169" s="5"/>
      <c r="E169" s="5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5"/>
      <c r="B170" s="5"/>
      <c r="C170" s="5"/>
      <c r="D170" s="5"/>
      <c r="E170" s="5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5"/>
      <c r="B171" s="5"/>
      <c r="C171" s="5"/>
      <c r="D171" s="5"/>
      <c r="E171" s="5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5"/>
      <c r="B172" s="5"/>
      <c r="C172" s="5"/>
      <c r="D172" s="5"/>
      <c r="E172" s="5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5"/>
      <c r="B173" s="5"/>
      <c r="C173" s="5"/>
      <c r="D173" s="5"/>
      <c r="E173" s="5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5"/>
      <c r="B174" s="5"/>
      <c r="C174" s="5"/>
      <c r="D174" s="5"/>
      <c r="E174" s="5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5"/>
      <c r="B175" s="5"/>
      <c r="C175" s="5"/>
      <c r="D175" s="5"/>
      <c r="E175" s="5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5"/>
      <c r="B176" s="5"/>
      <c r="C176" s="5"/>
      <c r="D176" s="5"/>
      <c r="E176" s="5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5"/>
      <c r="B177" s="5"/>
      <c r="C177" s="5"/>
      <c r="D177" s="5"/>
      <c r="E177" s="5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5"/>
      <c r="B178" s="5"/>
      <c r="C178" s="5"/>
      <c r="D178" s="5"/>
      <c r="E178" s="5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5"/>
      <c r="B179" s="5"/>
      <c r="C179" s="5"/>
      <c r="D179" s="5"/>
      <c r="E179" s="5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5"/>
      <c r="B180" s="5"/>
      <c r="C180" s="5"/>
      <c r="D180" s="5"/>
      <c r="E180" s="5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5"/>
      <c r="B181" s="5"/>
      <c r="C181" s="5"/>
      <c r="D181" s="5"/>
      <c r="E181" s="5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5"/>
      <c r="B182" s="5"/>
      <c r="C182" s="5"/>
      <c r="D182" s="5"/>
      <c r="E182" s="5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5"/>
      <c r="B183" s="5"/>
      <c r="C183" s="5"/>
      <c r="D183" s="5"/>
      <c r="E183" s="5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5"/>
      <c r="B184" s="5"/>
      <c r="C184" s="5"/>
      <c r="D184" s="5"/>
      <c r="E184" s="5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5"/>
      <c r="B185" s="5"/>
      <c r="C185" s="5"/>
      <c r="D185" s="5"/>
      <c r="E185" s="5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5"/>
      <c r="B186" s="5"/>
      <c r="C186" s="5"/>
      <c r="D186" s="5"/>
      <c r="E186" s="5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5"/>
      <c r="B187" s="5"/>
      <c r="C187" s="5"/>
      <c r="D187" s="5"/>
      <c r="E187" s="5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5"/>
      <c r="B188" s="5"/>
      <c r="C188" s="5"/>
      <c r="D188" s="5"/>
      <c r="E188" s="5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5"/>
      <c r="B189" s="5"/>
      <c r="C189" s="5"/>
      <c r="D189" s="5"/>
      <c r="E189" s="5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5"/>
      <c r="B190" s="5"/>
      <c r="C190" s="5"/>
      <c r="D190" s="5"/>
      <c r="E190" s="5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5"/>
      <c r="B191" s="5"/>
      <c r="C191" s="5"/>
      <c r="D191" s="5"/>
      <c r="E191" s="5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5"/>
      <c r="B192" s="5"/>
      <c r="C192" s="5"/>
      <c r="D192" s="5"/>
      <c r="E192" s="5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5"/>
      <c r="B193" s="5"/>
      <c r="C193" s="5"/>
      <c r="D193" s="5"/>
      <c r="E193" s="5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5"/>
      <c r="B194" s="5"/>
      <c r="C194" s="5"/>
      <c r="D194" s="5"/>
      <c r="E194" s="5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5"/>
      <c r="B195" s="5"/>
      <c r="C195" s="5"/>
      <c r="D195" s="5"/>
      <c r="E195" s="5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5"/>
      <c r="B196" s="5"/>
      <c r="C196" s="5"/>
      <c r="D196" s="5"/>
      <c r="E196" s="5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5"/>
      <c r="B197" s="5"/>
      <c r="C197" s="5"/>
      <c r="D197" s="5"/>
      <c r="E197" s="5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5"/>
      <c r="B198" s="5"/>
      <c r="C198" s="5"/>
      <c r="D198" s="5"/>
      <c r="E198" s="5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5"/>
      <c r="B199" s="5"/>
      <c r="C199" s="5"/>
      <c r="D199" s="5"/>
      <c r="E199" s="5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5"/>
      <c r="B200" s="5"/>
      <c r="C200" s="5"/>
      <c r="D200" s="5"/>
      <c r="E200" s="5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5"/>
      <c r="B201" s="5"/>
      <c r="C201" s="5"/>
      <c r="D201" s="5"/>
      <c r="E201" s="5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5"/>
      <c r="B202" s="5"/>
      <c r="C202" s="5"/>
      <c r="D202" s="5"/>
      <c r="E202" s="5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5"/>
      <c r="B203" s="5"/>
      <c r="C203" s="5"/>
      <c r="D203" s="5"/>
      <c r="E203" s="5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5"/>
      <c r="B204" s="5"/>
      <c r="C204" s="5"/>
      <c r="D204" s="5"/>
      <c r="E204" s="5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5"/>
      <c r="B205" s="5"/>
      <c r="C205" s="5"/>
      <c r="D205" s="5"/>
      <c r="E205" s="5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5"/>
      <c r="B206" s="5"/>
      <c r="C206" s="5"/>
      <c r="D206" s="5"/>
      <c r="E206" s="5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5"/>
      <c r="B207" s="5"/>
      <c r="C207" s="5"/>
      <c r="D207" s="5"/>
      <c r="E207" s="5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5"/>
      <c r="B208" s="5"/>
      <c r="C208" s="5"/>
      <c r="D208" s="5"/>
      <c r="E208" s="5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5"/>
      <c r="B209" s="5"/>
      <c r="C209" s="5"/>
      <c r="D209" s="5"/>
      <c r="E209" s="5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5"/>
      <c r="B210" s="5"/>
      <c r="C210" s="5"/>
      <c r="D210" s="5"/>
      <c r="E210" s="5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5"/>
      <c r="B211" s="5"/>
      <c r="C211" s="5"/>
      <c r="D211" s="5"/>
      <c r="E211" s="5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5"/>
      <c r="B212" s="5"/>
      <c r="C212" s="5"/>
      <c r="D212" s="5"/>
      <c r="E212" s="5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5"/>
      <c r="B213" s="5"/>
      <c r="C213" s="5"/>
      <c r="D213" s="5"/>
      <c r="E213" s="5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5"/>
      <c r="B214" s="5"/>
      <c r="C214" s="5"/>
      <c r="D214" s="5"/>
      <c r="E214" s="5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5"/>
      <c r="B215" s="5"/>
      <c r="C215" s="5"/>
      <c r="D215" s="5"/>
      <c r="E215" s="5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5"/>
      <c r="B216" s="5"/>
      <c r="C216" s="5"/>
      <c r="D216" s="5"/>
      <c r="E216" s="5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5"/>
      <c r="B217" s="5"/>
      <c r="C217" s="5"/>
      <c r="D217" s="5"/>
      <c r="E217" s="5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5"/>
      <c r="B218" s="5"/>
      <c r="C218" s="5"/>
      <c r="D218" s="5"/>
      <c r="E218" s="5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5"/>
      <c r="B219" s="5"/>
      <c r="C219" s="5"/>
      <c r="D219" s="5"/>
      <c r="E219" s="5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5"/>
      <c r="B220" s="5"/>
      <c r="C220" s="5"/>
      <c r="D220" s="5"/>
      <c r="E220" s="5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5"/>
      <c r="B221" s="5"/>
      <c r="C221" s="5"/>
      <c r="D221" s="5"/>
      <c r="E221" s="5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5"/>
      <c r="B222" s="5"/>
      <c r="C222" s="5"/>
      <c r="D222" s="5"/>
      <c r="E222" s="5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5"/>
      <c r="B223" s="5"/>
      <c r="C223" s="5"/>
      <c r="D223" s="5"/>
      <c r="E223" s="5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5"/>
      <c r="B224" s="5"/>
      <c r="C224" s="5"/>
      <c r="D224" s="5"/>
      <c r="E224" s="5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5"/>
      <c r="B225" s="5"/>
      <c r="C225" s="5"/>
      <c r="D225" s="5"/>
      <c r="E225" s="5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5"/>
      <c r="B226" s="5"/>
      <c r="C226" s="5"/>
      <c r="D226" s="5"/>
      <c r="E226" s="5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5"/>
      <c r="B227" s="5"/>
      <c r="C227" s="5"/>
      <c r="D227" s="5"/>
      <c r="E227" s="5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5"/>
      <c r="B228" s="5"/>
      <c r="C228" s="5"/>
      <c r="D228" s="5"/>
      <c r="E228" s="5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5"/>
      <c r="B229" s="5"/>
      <c r="C229" s="5"/>
      <c r="D229" s="5"/>
      <c r="E229" s="5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5"/>
      <c r="B230" s="5"/>
      <c r="C230" s="5"/>
      <c r="D230" s="5"/>
      <c r="E230" s="5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5"/>
      <c r="B231" s="5"/>
      <c r="C231" s="5"/>
      <c r="D231" s="5"/>
      <c r="E231" s="5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5"/>
      <c r="B232" s="5"/>
      <c r="C232" s="5"/>
      <c r="D232" s="5"/>
      <c r="E232" s="5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5"/>
      <c r="B233" s="5"/>
      <c r="C233" s="5"/>
      <c r="D233" s="5"/>
      <c r="E233" s="5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5"/>
      <c r="B234" s="5"/>
      <c r="C234" s="5"/>
      <c r="D234" s="5"/>
      <c r="E234" s="5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5"/>
      <c r="B235" s="5"/>
      <c r="C235" s="5"/>
      <c r="D235" s="5"/>
      <c r="E235" s="5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5"/>
      <c r="B236" s="5"/>
      <c r="C236" s="5"/>
      <c r="D236" s="5"/>
      <c r="E236" s="5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5"/>
      <c r="B237" s="5"/>
      <c r="C237" s="5"/>
      <c r="D237" s="5"/>
      <c r="E237" s="5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5"/>
      <c r="B238" s="5"/>
      <c r="C238" s="5"/>
      <c r="D238" s="5"/>
      <c r="E238" s="5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5"/>
      <c r="B239" s="5"/>
      <c r="C239" s="5"/>
      <c r="D239" s="5"/>
      <c r="E239" s="5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5"/>
      <c r="B240" s="5"/>
      <c r="C240" s="5"/>
      <c r="D240" s="5"/>
      <c r="E240" s="5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5"/>
      <c r="B241" s="5"/>
      <c r="C241" s="5"/>
      <c r="D241" s="5"/>
      <c r="E241" s="5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5"/>
      <c r="B242" s="5"/>
      <c r="C242" s="5"/>
      <c r="D242" s="5"/>
      <c r="E242" s="5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5"/>
      <c r="B243" s="5"/>
      <c r="C243" s="5"/>
      <c r="D243" s="5"/>
      <c r="E243" s="5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5"/>
      <c r="B244" s="5"/>
      <c r="C244" s="5"/>
      <c r="D244" s="5"/>
      <c r="E244" s="5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5"/>
      <c r="B245" s="5"/>
      <c r="C245" s="5"/>
      <c r="D245" s="5"/>
      <c r="E245" s="5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5"/>
      <c r="B246" s="5"/>
      <c r="C246" s="5"/>
      <c r="D246" s="5"/>
      <c r="E246" s="5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5"/>
      <c r="B247" s="5"/>
      <c r="C247" s="5"/>
      <c r="D247" s="5"/>
      <c r="E247" s="5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5"/>
      <c r="B248" s="5"/>
      <c r="C248" s="5"/>
      <c r="D248" s="5"/>
      <c r="E248" s="5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5"/>
      <c r="B249" s="5"/>
      <c r="C249" s="5"/>
      <c r="D249" s="5"/>
      <c r="E249" s="5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5"/>
      <c r="B250" s="5"/>
      <c r="C250" s="5"/>
      <c r="D250" s="5"/>
      <c r="E250" s="5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5"/>
      <c r="B251" s="5"/>
      <c r="C251" s="5"/>
      <c r="D251" s="5"/>
      <c r="E251" s="5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5"/>
      <c r="B252" s="5"/>
      <c r="C252" s="5"/>
      <c r="D252" s="5"/>
      <c r="E252" s="5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5"/>
      <c r="B253" s="5"/>
      <c r="C253" s="5"/>
      <c r="D253" s="5"/>
      <c r="E253" s="5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5"/>
      <c r="B254" s="5"/>
      <c r="C254" s="5"/>
      <c r="D254" s="5"/>
      <c r="E254" s="5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5"/>
      <c r="B255" s="5"/>
      <c r="C255" s="5"/>
      <c r="D255" s="5"/>
      <c r="E255" s="5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5"/>
      <c r="B256" s="5"/>
      <c r="C256" s="5"/>
      <c r="D256" s="5"/>
      <c r="E256" s="5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5"/>
      <c r="B257" s="5"/>
      <c r="C257" s="5"/>
      <c r="D257" s="5"/>
      <c r="E257" s="5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5"/>
      <c r="B258" s="5"/>
      <c r="C258" s="5"/>
      <c r="D258" s="5"/>
      <c r="E258" s="5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5"/>
      <c r="B259" s="5"/>
      <c r="C259" s="5"/>
      <c r="D259" s="5"/>
      <c r="E259" s="5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5"/>
      <c r="B260" s="5"/>
      <c r="C260" s="5"/>
      <c r="D260" s="5"/>
      <c r="E260" s="5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5"/>
      <c r="B261" s="5"/>
      <c r="C261" s="5"/>
      <c r="D261" s="5"/>
      <c r="E261" s="5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5"/>
      <c r="B262" s="5"/>
      <c r="C262" s="5"/>
      <c r="D262" s="5"/>
      <c r="E262" s="5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5"/>
      <c r="B263" s="5"/>
      <c r="C263" s="5"/>
      <c r="D263" s="5"/>
      <c r="E263" s="5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5"/>
      <c r="B264" s="5"/>
      <c r="C264" s="5"/>
      <c r="D264" s="5"/>
      <c r="E264" s="5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5"/>
      <c r="B265" s="5"/>
      <c r="C265" s="5"/>
      <c r="D265" s="5"/>
      <c r="E265" s="5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5"/>
      <c r="B266" s="5"/>
      <c r="C266" s="5"/>
      <c r="D266" s="5"/>
      <c r="E266" s="5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5"/>
      <c r="B267" s="5"/>
      <c r="C267" s="5"/>
      <c r="D267" s="5"/>
      <c r="E267" s="5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5"/>
      <c r="B268" s="5"/>
      <c r="C268" s="5"/>
      <c r="D268" s="5"/>
      <c r="E268" s="5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5"/>
      <c r="B269" s="5"/>
      <c r="C269" s="5"/>
      <c r="D269" s="5"/>
      <c r="E269" s="5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5"/>
      <c r="B270" s="5"/>
      <c r="C270" s="5"/>
      <c r="D270" s="5"/>
      <c r="E270" s="5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5"/>
      <c r="B271" s="5"/>
      <c r="C271" s="5"/>
      <c r="D271" s="5"/>
      <c r="E271" s="5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5"/>
      <c r="B272" s="5"/>
      <c r="C272" s="5"/>
      <c r="D272" s="5"/>
      <c r="E272" s="5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5"/>
      <c r="B273" s="5"/>
      <c r="C273" s="5"/>
      <c r="D273" s="5"/>
      <c r="E273" s="5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5"/>
      <c r="B274" s="5"/>
      <c r="C274" s="5"/>
      <c r="D274" s="5"/>
      <c r="E274" s="5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5"/>
      <c r="B275" s="5"/>
      <c r="C275" s="5"/>
      <c r="D275" s="5"/>
      <c r="E275" s="5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5"/>
      <c r="B276" s="5"/>
      <c r="C276" s="5"/>
      <c r="D276" s="5"/>
      <c r="E276" s="5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5"/>
      <c r="B277" s="5"/>
      <c r="C277" s="5"/>
      <c r="D277" s="5"/>
      <c r="E277" s="5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5"/>
      <c r="B278" s="5"/>
      <c r="C278" s="5"/>
      <c r="D278" s="5"/>
      <c r="E278" s="5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5"/>
      <c r="B279" s="5"/>
      <c r="C279" s="5"/>
      <c r="D279" s="5"/>
      <c r="E279" s="5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5"/>
      <c r="B280" s="5"/>
      <c r="C280" s="5"/>
      <c r="D280" s="5"/>
      <c r="E280" s="5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5"/>
      <c r="B281" s="5"/>
      <c r="C281" s="5"/>
      <c r="D281" s="5"/>
      <c r="E281" s="5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5"/>
      <c r="B282" s="5"/>
      <c r="C282" s="5"/>
      <c r="D282" s="5"/>
      <c r="E282" s="5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5"/>
      <c r="B283" s="5"/>
      <c r="C283" s="5"/>
      <c r="D283" s="5"/>
      <c r="E283" s="5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5"/>
      <c r="B284" s="5"/>
      <c r="C284" s="5"/>
      <c r="D284" s="5"/>
      <c r="E284" s="5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5"/>
      <c r="B285" s="5"/>
      <c r="C285" s="5"/>
      <c r="D285" s="5"/>
      <c r="E285" s="5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5"/>
      <c r="B286" s="5"/>
      <c r="C286" s="5"/>
      <c r="D286" s="5"/>
      <c r="E286" s="5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5"/>
      <c r="B287" s="5"/>
      <c r="C287" s="5"/>
      <c r="D287" s="5"/>
      <c r="E287" s="5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5"/>
      <c r="B288" s="5"/>
      <c r="C288" s="5"/>
      <c r="D288" s="5"/>
      <c r="E288" s="5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5"/>
      <c r="B289" s="5"/>
      <c r="C289" s="5"/>
      <c r="D289" s="5"/>
      <c r="E289" s="5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5"/>
      <c r="B290" s="5"/>
      <c r="C290" s="5"/>
      <c r="D290" s="5"/>
      <c r="E290" s="5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5"/>
      <c r="B291" s="5"/>
      <c r="C291" s="5"/>
      <c r="D291" s="5"/>
      <c r="E291" s="5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5"/>
      <c r="B292" s="5"/>
      <c r="C292" s="5"/>
      <c r="D292" s="5"/>
      <c r="E292" s="5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5"/>
      <c r="B293" s="5"/>
      <c r="C293" s="5"/>
      <c r="D293" s="5"/>
      <c r="E293" s="5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5"/>
      <c r="B294" s="5"/>
      <c r="C294" s="5"/>
      <c r="D294" s="5"/>
      <c r="E294" s="5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5"/>
      <c r="B295" s="5"/>
      <c r="C295" s="5"/>
      <c r="D295" s="5"/>
      <c r="E295" s="5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5"/>
      <c r="B296" s="5"/>
      <c r="C296" s="5"/>
      <c r="D296" s="5"/>
      <c r="E296" s="5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5"/>
      <c r="B297" s="5"/>
      <c r="C297" s="5"/>
      <c r="D297" s="5"/>
      <c r="E297" s="5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5"/>
      <c r="B298" s="5"/>
      <c r="C298" s="5"/>
      <c r="D298" s="5"/>
      <c r="E298" s="5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5"/>
      <c r="B299" s="5"/>
      <c r="C299" s="5"/>
      <c r="D299" s="5"/>
      <c r="E299" s="5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5"/>
      <c r="B300" s="5"/>
      <c r="C300" s="5"/>
      <c r="D300" s="5"/>
      <c r="E300" s="5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5"/>
      <c r="B301" s="5"/>
      <c r="C301" s="5"/>
      <c r="D301" s="5"/>
      <c r="E301" s="5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5"/>
      <c r="B302" s="5"/>
      <c r="C302" s="5"/>
      <c r="D302" s="5"/>
      <c r="E302" s="5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5"/>
      <c r="B303" s="5"/>
      <c r="C303" s="5"/>
      <c r="D303" s="5"/>
      <c r="E303" s="5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5"/>
      <c r="B304" s="5"/>
      <c r="C304" s="5"/>
      <c r="D304" s="5"/>
      <c r="E304" s="5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5"/>
      <c r="B305" s="5"/>
      <c r="C305" s="5"/>
      <c r="D305" s="5"/>
      <c r="E305" s="5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5"/>
      <c r="B306" s="5"/>
      <c r="C306" s="5"/>
      <c r="D306" s="5"/>
      <c r="E306" s="5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5"/>
      <c r="B307" s="5"/>
      <c r="C307" s="5"/>
      <c r="D307" s="5"/>
      <c r="E307" s="5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5"/>
      <c r="B308" s="5"/>
      <c r="C308" s="5"/>
      <c r="D308" s="5"/>
      <c r="E308" s="5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5"/>
      <c r="B309" s="5"/>
      <c r="C309" s="5"/>
      <c r="D309" s="5"/>
      <c r="E309" s="5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5"/>
      <c r="B310" s="5"/>
      <c r="C310" s="5"/>
      <c r="D310" s="5"/>
      <c r="E310" s="5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5"/>
      <c r="B311" s="5"/>
      <c r="C311" s="5"/>
      <c r="D311" s="5"/>
      <c r="E311" s="5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5"/>
      <c r="B312" s="5"/>
      <c r="C312" s="5"/>
      <c r="D312" s="5"/>
      <c r="E312" s="5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5"/>
      <c r="B313" s="5"/>
      <c r="C313" s="5"/>
      <c r="D313" s="5"/>
      <c r="E313" s="5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5"/>
      <c r="B314" s="5"/>
      <c r="C314" s="5"/>
      <c r="D314" s="5"/>
      <c r="E314" s="5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5"/>
      <c r="B315" s="5"/>
      <c r="C315" s="5"/>
      <c r="D315" s="5"/>
      <c r="E315" s="5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5"/>
      <c r="B316" s="5"/>
      <c r="C316" s="5"/>
      <c r="D316" s="5"/>
      <c r="E316" s="5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5"/>
      <c r="B317" s="5"/>
      <c r="C317" s="5"/>
      <c r="D317" s="5"/>
      <c r="E317" s="5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5"/>
      <c r="B318" s="5"/>
      <c r="C318" s="5"/>
      <c r="D318" s="5"/>
      <c r="E318" s="5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5"/>
      <c r="B319" s="5"/>
      <c r="C319" s="5"/>
      <c r="D319" s="5"/>
      <c r="E319" s="5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5"/>
      <c r="B320" s="5"/>
      <c r="C320" s="5"/>
      <c r="D320" s="5"/>
      <c r="E320" s="5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5"/>
      <c r="B321" s="5"/>
      <c r="C321" s="5"/>
      <c r="D321" s="5"/>
      <c r="E321" s="5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5"/>
      <c r="B322" s="5"/>
      <c r="C322" s="5"/>
      <c r="D322" s="5"/>
      <c r="E322" s="5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5"/>
      <c r="B323" s="5"/>
      <c r="C323" s="5"/>
      <c r="D323" s="5"/>
      <c r="E323" s="5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5"/>
      <c r="B324" s="5"/>
      <c r="C324" s="5"/>
      <c r="D324" s="5"/>
      <c r="E324" s="5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5"/>
      <c r="B325" s="5"/>
      <c r="C325" s="5"/>
      <c r="D325" s="5"/>
      <c r="E325" s="5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5"/>
      <c r="B326" s="5"/>
      <c r="C326" s="5"/>
      <c r="D326" s="5"/>
      <c r="E326" s="5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5"/>
      <c r="B327" s="5"/>
      <c r="C327" s="5"/>
      <c r="D327" s="5"/>
      <c r="E327" s="5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5"/>
      <c r="B328" s="5"/>
      <c r="C328" s="5"/>
      <c r="D328" s="5"/>
      <c r="E328" s="5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5"/>
      <c r="B329" s="5"/>
      <c r="C329" s="5"/>
      <c r="D329" s="5"/>
      <c r="E329" s="5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5"/>
      <c r="B330" s="5"/>
      <c r="C330" s="5"/>
      <c r="D330" s="5"/>
      <c r="E330" s="5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5"/>
      <c r="B331" s="5"/>
      <c r="C331" s="5"/>
      <c r="D331" s="5"/>
      <c r="E331" s="5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5"/>
      <c r="B332" s="5"/>
      <c r="C332" s="5"/>
      <c r="D332" s="5"/>
      <c r="E332" s="5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5"/>
      <c r="B333" s="5"/>
      <c r="C333" s="5"/>
      <c r="D333" s="5"/>
      <c r="E333" s="5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5"/>
      <c r="B334" s="5"/>
      <c r="C334" s="5"/>
      <c r="D334" s="5"/>
      <c r="E334" s="5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5"/>
      <c r="B335" s="5"/>
      <c r="C335" s="5"/>
      <c r="D335" s="5"/>
      <c r="E335" s="5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5"/>
      <c r="B336" s="5"/>
      <c r="C336" s="5"/>
      <c r="D336" s="5"/>
      <c r="E336" s="5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5"/>
      <c r="B337" s="5"/>
      <c r="C337" s="5"/>
      <c r="D337" s="5"/>
      <c r="E337" s="5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5"/>
      <c r="B338" s="5"/>
      <c r="C338" s="5"/>
      <c r="D338" s="5"/>
      <c r="E338" s="5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5"/>
      <c r="B339" s="5"/>
      <c r="C339" s="5"/>
      <c r="D339" s="5"/>
      <c r="E339" s="5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5"/>
      <c r="B340" s="5"/>
      <c r="C340" s="5"/>
      <c r="D340" s="5"/>
      <c r="E340" s="5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5"/>
      <c r="B341" s="5"/>
      <c r="C341" s="5"/>
      <c r="D341" s="5"/>
      <c r="E341" s="5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5"/>
      <c r="B342" s="5"/>
      <c r="C342" s="5"/>
      <c r="D342" s="5"/>
      <c r="E342" s="5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5"/>
      <c r="B343" s="5"/>
      <c r="C343" s="5"/>
      <c r="D343" s="5"/>
      <c r="E343" s="5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5"/>
      <c r="B344" s="5"/>
      <c r="C344" s="5"/>
      <c r="D344" s="5"/>
      <c r="E344" s="5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5"/>
      <c r="B345" s="5"/>
      <c r="C345" s="5"/>
      <c r="D345" s="5"/>
      <c r="E345" s="5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5"/>
      <c r="B346" s="5"/>
      <c r="C346" s="5"/>
      <c r="D346" s="5"/>
      <c r="E346" s="5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5"/>
      <c r="B347" s="5"/>
      <c r="C347" s="5"/>
      <c r="D347" s="5"/>
      <c r="E347" s="5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5"/>
      <c r="B348" s="5"/>
      <c r="C348" s="5"/>
      <c r="D348" s="5"/>
      <c r="E348" s="5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5"/>
      <c r="B349" s="5"/>
      <c r="C349" s="5"/>
      <c r="D349" s="5"/>
      <c r="E349" s="5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5"/>
      <c r="B350" s="5"/>
      <c r="C350" s="5"/>
      <c r="D350" s="5"/>
      <c r="E350" s="5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5"/>
      <c r="B351" s="5"/>
      <c r="C351" s="5"/>
      <c r="D351" s="5"/>
      <c r="E351" s="5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5"/>
      <c r="B352" s="5"/>
      <c r="C352" s="5"/>
      <c r="D352" s="5"/>
      <c r="E352" s="5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5"/>
      <c r="B353" s="5"/>
      <c r="C353" s="5"/>
      <c r="D353" s="5"/>
      <c r="E353" s="5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5"/>
      <c r="B354" s="5"/>
      <c r="C354" s="5"/>
      <c r="D354" s="5"/>
      <c r="E354" s="5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5"/>
      <c r="B355" s="5"/>
      <c r="C355" s="5"/>
      <c r="D355" s="5"/>
      <c r="E355" s="5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5"/>
      <c r="B356" s="5"/>
      <c r="C356" s="5"/>
      <c r="D356" s="5"/>
      <c r="E356" s="5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5"/>
      <c r="B357" s="5"/>
      <c r="C357" s="5"/>
      <c r="D357" s="5"/>
      <c r="E357" s="5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5"/>
      <c r="B358" s="5"/>
      <c r="C358" s="5"/>
      <c r="D358" s="5"/>
      <c r="E358" s="5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5"/>
      <c r="B359" s="5"/>
      <c r="C359" s="5"/>
      <c r="D359" s="5"/>
      <c r="E359" s="5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5"/>
      <c r="B360" s="5"/>
      <c r="C360" s="5"/>
      <c r="D360" s="5"/>
      <c r="E360" s="5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5"/>
      <c r="B361" s="5"/>
      <c r="C361" s="5"/>
      <c r="D361" s="5"/>
      <c r="E361" s="5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5"/>
      <c r="B362" s="5"/>
      <c r="C362" s="5"/>
      <c r="D362" s="5"/>
      <c r="E362" s="5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5"/>
      <c r="B363" s="5"/>
      <c r="C363" s="5"/>
      <c r="D363" s="5"/>
      <c r="E363" s="5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5"/>
      <c r="B364" s="5"/>
      <c r="C364" s="5"/>
      <c r="D364" s="5"/>
      <c r="E364" s="5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5"/>
      <c r="B365" s="5"/>
      <c r="C365" s="5"/>
      <c r="D365" s="5"/>
      <c r="E365" s="5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5"/>
      <c r="B366" s="5"/>
      <c r="C366" s="5"/>
      <c r="D366" s="5"/>
      <c r="E366" s="5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5"/>
      <c r="B367" s="5"/>
      <c r="C367" s="5"/>
      <c r="D367" s="5"/>
      <c r="E367" s="5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5"/>
      <c r="B368" s="5"/>
      <c r="C368" s="5"/>
      <c r="D368" s="5"/>
      <c r="E368" s="5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5"/>
      <c r="B369" s="5"/>
      <c r="C369" s="5"/>
      <c r="D369" s="5"/>
      <c r="E369" s="5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5"/>
      <c r="B370" s="5"/>
      <c r="C370" s="5"/>
      <c r="D370" s="5"/>
      <c r="E370" s="5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5"/>
      <c r="B371" s="5"/>
      <c r="C371" s="5"/>
      <c r="D371" s="5"/>
      <c r="E371" s="5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5"/>
      <c r="B372" s="5"/>
      <c r="C372" s="5"/>
      <c r="D372" s="5"/>
      <c r="E372" s="5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5"/>
      <c r="B373" s="5"/>
      <c r="C373" s="5"/>
      <c r="D373" s="5"/>
      <c r="E373" s="5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5"/>
      <c r="B374" s="5"/>
      <c r="C374" s="5"/>
      <c r="D374" s="5"/>
      <c r="E374" s="5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5"/>
      <c r="B375" s="5"/>
      <c r="C375" s="5"/>
      <c r="D375" s="5"/>
      <c r="E375" s="5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5"/>
      <c r="B376" s="5"/>
      <c r="C376" s="5"/>
      <c r="D376" s="5"/>
      <c r="E376" s="5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5"/>
      <c r="B377" s="5"/>
      <c r="C377" s="5"/>
      <c r="D377" s="5"/>
      <c r="E377" s="5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5"/>
      <c r="B378" s="5"/>
      <c r="C378" s="5"/>
      <c r="D378" s="5"/>
      <c r="E378" s="5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5"/>
      <c r="B379" s="5"/>
      <c r="C379" s="5"/>
      <c r="D379" s="5"/>
      <c r="E379" s="5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5"/>
      <c r="B380" s="5"/>
      <c r="C380" s="5"/>
      <c r="D380" s="5"/>
      <c r="E380" s="5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5"/>
      <c r="B381" s="5"/>
      <c r="C381" s="5"/>
      <c r="D381" s="5"/>
      <c r="E381" s="5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5"/>
      <c r="B382" s="5"/>
      <c r="C382" s="5"/>
      <c r="D382" s="5"/>
      <c r="E382" s="5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5"/>
      <c r="B383" s="5"/>
      <c r="C383" s="5"/>
      <c r="D383" s="5"/>
      <c r="E383" s="5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5"/>
      <c r="B384" s="5"/>
      <c r="C384" s="5"/>
      <c r="D384" s="5"/>
      <c r="E384" s="5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5"/>
      <c r="B385" s="5"/>
      <c r="C385" s="5"/>
      <c r="D385" s="5"/>
      <c r="E385" s="5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5"/>
      <c r="B386" s="5"/>
      <c r="C386" s="5"/>
      <c r="D386" s="5"/>
      <c r="E386" s="5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5"/>
      <c r="B387" s="5"/>
      <c r="C387" s="5"/>
      <c r="D387" s="5"/>
      <c r="E387" s="5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5"/>
      <c r="B388" s="5"/>
      <c r="C388" s="5"/>
      <c r="D388" s="5"/>
      <c r="E388" s="5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5"/>
      <c r="B389" s="5"/>
      <c r="C389" s="5"/>
      <c r="D389" s="5"/>
      <c r="E389" s="5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5"/>
      <c r="B390" s="5"/>
      <c r="C390" s="5"/>
      <c r="D390" s="5"/>
      <c r="E390" s="5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5"/>
      <c r="B391" s="5"/>
      <c r="C391" s="5"/>
      <c r="D391" s="5"/>
      <c r="E391" s="5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5"/>
      <c r="B392" s="5"/>
      <c r="C392" s="5"/>
      <c r="D392" s="5"/>
      <c r="E392" s="5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5"/>
      <c r="B393" s="5"/>
      <c r="C393" s="5"/>
      <c r="D393" s="5"/>
      <c r="E393" s="5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5"/>
      <c r="B394" s="5"/>
      <c r="C394" s="5"/>
      <c r="D394" s="5"/>
      <c r="E394" s="5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5"/>
      <c r="B395" s="5"/>
      <c r="C395" s="5"/>
      <c r="D395" s="5"/>
      <c r="E395" s="5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5"/>
      <c r="B396" s="5"/>
      <c r="C396" s="5"/>
      <c r="D396" s="5"/>
      <c r="E396" s="5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5"/>
      <c r="B397" s="5"/>
      <c r="C397" s="5"/>
      <c r="D397" s="5"/>
      <c r="E397" s="5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5"/>
      <c r="B398" s="5"/>
      <c r="C398" s="5"/>
      <c r="D398" s="5"/>
      <c r="E398" s="5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5"/>
      <c r="B399" s="5"/>
      <c r="C399" s="5"/>
      <c r="D399" s="5"/>
      <c r="E399" s="5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5"/>
      <c r="B400" s="5"/>
      <c r="C400" s="5"/>
      <c r="D400" s="5"/>
      <c r="E400" s="5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5"/>
      <c r="B401" s="5"/>
      <c r="C401" s="5"/>
      <c r="D401" s="5"/>
      <c r="E401" s="5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5"/>
      <c r="B402" s="5"/>
      <c r="C402" s="5"/>
      <c r="D402" s="5"/>
      <c r="E402" s="5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5"/>
      <c r="B403" s="5"/>
      <c r="C403" s="5"/>
      <c r="D403" s="5"/>
      <c r="E403" s="5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5"/>
      <c r="B404" s="5"/>
      <c r="C404" s="5"/>
      <c r="D404" s="5"/>
      <c r="E404" s="5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5"/>
      <c r="B405" s="5"/>
      <c r="C405" s="5"/>
      <c r="D405" s="5"/>
      <c r="E405" s="5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5"/>
      <c r="B406" s="5"/>
      <c r="C406" s="5"/>
      <c r="D406" s="5"/>
      <c r="E406" s="5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5"/>
      <c r="B407" s="5"/>
      <c r="C407" s="5"/>
      <c r="D407" s="5"/>
      <c r="E407" s="5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5"/>
      <c r="B408" s="5"/>
      <c r="C408" s="5"/>
      <c r="D408" s="5"/>
      <c r="E408" s="5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5"/>
      <c r="B409" s="5"/>
      <c r="C409" s="5"/>
      <c r="D409" s="5"/>
      <c r="E409" s="5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5"/>
      <c r="B410" s="5"/>
      <c r="C410" s="5"/>
      <c r="D410" s="5"/>
      <c r="E410" s="5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5"/>
      <c r="B411" s="5"/>
      <c r="C411" s="5"/>
      <c r="D411" s="5"/>
      <c r="E411" s="5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5"/>
      <c r="B412" s="5"/>
      <c r="C412" s="5"/>
      <c r="D412" s="5"/>
      <c r="E412" s="5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5"/>
      <c r="B413" s="5"/>
      <c r="C413" s="5"/>
      <c r="D413" s="5"/>
      <c r="E413" s="5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5"/>
      <c r="B414" s="5"/>
      <c r="C414" s="5"/>
      <c r="D414" s="5"/>
      <c r="E414" s="5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5"/>
      <c r="B415" s="5"/>
      <c r="C415" s="5"/>
      <c r="D415" s="5"/>
      <c r="E415" s="5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5"/>
      <c r="B416" s="5"/>
      <c r="C416" s="5"/>
      <c r="D416" s="5"/>
      <c r="E416" s="5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5"/>
      <c r="B417" s="5"/>
      <c r="C417" s="5"/>
      <c r="D417" s="5"/>
      <c r="E417" s="5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5"/>
      <c r="B418" s="5"/>
      <c r="C418" s="5"/>
      <c r="D418" s="5"/>
      <c r="E418" s="5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5"/>
      <c r="B419" s="5"/>
      <c r="C419" s="5"/>
      <c r="D419" s="5"/>
      <c r="E419" s="5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5"/>
      <c r="B420" s="5"/>
      <c r="C420" s="5"/>
      <c r="D420" s="5"/>
      <c r="E420" s="5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5"/>
      <c r="B421" s="5"/>
      <c r="C421" s="5"/>
      <c r="D421" s="5"/>
      <c r="E421" s="5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5"/>
      <c r="B422" s="5"/>
      <c r="C422" s="5"/>
      <c r="D422" s="5"/>
      <c r="E422" s="5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5"/>
      <c r="B423" s="5"/>
      <c r="C423" s="5"/>
      <c r="D423" s="5"/>
      <c r="E423" s="5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5"/>
      <c r="B424" s="5"/>
      <c r="C424" s="5"/>
      <c r="D424" s="5"/>
      <c r="E424" s="5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5"/>
      <c r="B425" s="5"/>
      <c r="C425" s="5"/>
      <c r="D425" s="5"/>
      <c r="E425" s="5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5"/>
      <c r="B426" s="5"/>
      <c r="C426" s="5"/>
      <c r="D426" s="5"/>
      <c r="E426" s="5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5"/>
      <c r="B427" s="5"/>
      <c r="C427" s="5"/>
      <c r="D427" s="5"/>
      <c r="E427" s="5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5"/>
      <c r="B428" s="5"/>
      <c r="C428" s="5"/>
      <c r="D428" s="5"/>
      <c r="E428" s="5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5"/>
      <c r="B429" s="5"/>
      <c r="C429" s="5"/>
      <c r="D429" s="5"/>
      <c r="E429" s="5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5"/>
      <c r="B430" s="5"/>
      <c r="C430" s="5"/>
      <c r="D430" s="5"/>
      <c r="E430" s="5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5"/>
      <c r="B431" s="5"/>
      <c r="C431" s="5"/>
      <c r="D431" s="5"/>
      <c r="E431" s="5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5"/>
      <c r="B432" s="5"/>
      <c r="C432" s="5"/>
      <c r="D432" s="5"/>
      <c r="E432" s="5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5"/>
      <c r="B433" s="5"/>
      <c r="C433" s="5"/>
      <c r="D433" s="5"/>
      <c r="E433" s="5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5"/>
      <c r="B434" s="5"/>
      <c r="C434" s="5"/>
      <c r="D434" s="5"/>
      <c r="E434" s="5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5"/>
      <c r="B435" s="5"/>
      <c r="C435" s="5"/>
      <c r="D435" s="5"/>
      <c r="E435" s="5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5"/>
      <c r="B436" s="5"/>
      <c r="C436" s="5"/>
      <c r="D436" s="5"/>
      <c r="E436" s="5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5"/>
      <c r="B437" s="5"/>
      <c r="C437" s="5"/>
      <c r="D437" s="5"/>
      <c r="E437" s="5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5"/>
      <c r="B438" s="5"/>
      <c r="C438" s="5"/>
      <c r="D438" s="5"/>
      <c r="E438" s="5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5"/>
      <c r="B439" s="5"/>
      <c r="C439" s="5"/>
      <c r="D439" s="5"/>
      <c r="E439" s="5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5"/>
      <c r="B440" s="5"/>
      <c r="C440" s="5"/>
      <c r="D440" s="5"/>
      <c r="E440" s="5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5"/>
      <c r="B441" s="5"/>
      <c r="C441" s="5"/>
      <c r="D441" s="5"/>
      <c r="E441" s="5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5"/>
      <c r="B442" s="5"/>
      <c r="C442" s="5"/>
      <c r="D442" s="5"/>
      <c r="E442" s="5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5"/>
      <c r="B443" s="5"/>
      <c r="C443" s="5"/>
      <c r="D443" s="5"/>
      <c r="E443" s="5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5"/>
      <c r="B444" s="5"/>
      <c r="C444" s="5"/>
      <c r="D444" s="5"/>
      <c r="E444" s="5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5"/>
      <c r="B445" s="5"/>
      <c r="C445" s="5"/>
      <c r="D445" s="5"/>
      <c r="E445" s="5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5"/>
      <c r="B446" s="5"/>
      <c r="C446" s="5"/>
      <c r="D446" s="5"/>
      <c r="E446" s="5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5"/>
      <c r="B447" s="5"/>
      <c r="C447" s="5"/>
      <c r="D447" s="5"/>
      <c r="E447" s="5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5"/>
      <c r="B448" s="5"/>
      <c r="C448" s="5"/>
      <c r="D448" s="5"/>
      <c r="E448" s="5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5"/>
      <c r="B449" s="5"/>
      <c r="C449" s="5"/>
      <c r="D449" s="5"/>
      <c r="E449" s="5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5"/>
      <c r="B450" s="5"/>
      <c r="C450" s="5"/>
      <c r="D450" s="5"/>
      <c r="E450" s="5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5"/>
      <c r="B451" s="5"/>
      <c r="C451" s="5"/>
      <c r="D451" s="5"/>
      <c r="E451" s="5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5"/>
      <c r="B452" s="5"/>
      <c r="C452" s="5"/>
      <c r="D452" s="5"/>
      <c r="E452" s="5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5"/>
      <c r="B453" s="5"/>
      <c r="C453" s="5"/>
      <c r="D453" s="5"/>
      <c r="E453" s="5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5"/>
      <c r="B454" s="5"/>
      <c r="C454" s="5"/>
      <c r="D454" s="5"/>
      <c r="E454" s="5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5"/>
      <c r="B455" s="5"/>
      <c r="C455" s="5"/>
      <c r="D455" s="5"/>
      <c r="E455" s="5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5"/>
      <c r="B456" s="5"/>
      <c r="C456" s="5"/>
      <c r="D456" s="5"/>
      <c r="E456" s="5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5"/>
      <c r="B457" s="5"/>
      <c r="C457" s="5"/>
      <c r="D457" s="5"/>
      <c r="E457" s="5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5"/>
      <c r="B458" s="5"/>
      <c r="C458" s="5"/>
      <c r="D458" s="5"/>
      <c r="E458" s="5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5"/>
      <c r="B459" s="5"/>
      <c r="C459" s="5"/>
      <c r="D459" s="5"/>
      <c r="E459" s="5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5"/>
      <c r="B460" s="5"/>
      <c r="C460" s="5"/>
      <c r="D460" s="5"/>
      <c r="E460" s="5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5"/>
      <c r="B461" s="5"/>
      <c r="C461" s="5"/>
      <c r="D461" s="5"/>
      <c r="E461" s="5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5"/>
      <c r="B462" s="5"/>
      <c r="C462" s="5"/>
      <c r="D462" s="5"/>
      <c r="E462" s="5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5"/>
      <c r="B463" s="5"/>
      <c r="C463" s="5"/>
      <c r="D463" s="5"/>
      <c r="E463" s="5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5"/>
      <c r="B464" s="5"/>
      <c r="C464" s="5"/>
      <c r="D464" s="5"/>
      <c r="E464" s="5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5"/>
      <c r="B465" s="5"/>
      <c r="C465" s="5"/>
      <c r="D465" s="5"/>
      <c r="E465" s="5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5"/>
      <c r="B466" s="5"/>
      <c r="C466" s="5"/>
      <c r="D466" s="5"/>
      <c r="E466" s="5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5"/>
      <c r="B467" s="5"/>
      <c r="C467" s="5"/>
      <c r="D467" s="5"/>
      <c r="E467" s="5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5"/>
      <c r="B468" s="5"/>
      <c r="C468" s="5"/>
      <c r="D468" s="5"/>
      <c r="E468" s="5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5"/>
      <c r="B469" s="5"/>
      <c r="C469" s="5"/>
      <c r="D469" s="5"/>
      <c r="E469" s="5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5"/>
      <c r="B470" s="5"/>
      <c r="C470" s="5"/>
      <c r="D470" s="5"/>
      <c r="E470" s="5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5"/>
      <c r="B471" s="5"/>
      <c r="C471" s="5"/>
      <c r="D471" s="5"/>
      <c r="E471" s="5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5"/>
      <c r="B472" s="5"/>
      <c r="C472" s="5"/>
      <c r="D472" s="5"/>
      <c r="E472" s="5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5"/>
      <c r="B473" s="5"/>
      <c r="C473" s="5"/>
      <c r="D473" s="5"/>
      <c r="E473" s="5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5"/>
      <c r="B474" s="5"/>
      <c r="C474" s="5"/>
      <c r="D474" s="5"/>
      <c r="E474" s="5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5"/>
      <c r="B475" s="5"/>
      <c r="C475" s="5"/>
      <c r="D475" s="5"/>
      <c r="E475" s="5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5"/>
      <c r="B476" s="5"/>
      <c r="C476" s="5"/>
      <c r="D476" s="5"/>
      <c r="E476" s="5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5"/>
      <c r="B477" s="5"/>
      <c r="C477" s="5"/>
      <c r="D477" s="5"/>
      <c r="E477" s="5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5"/>
      <c r="B478" s="5"/>
      <c r="C478" s="5"/>
      <c r="D478" s="5"/>
      <c r="E478" s="5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5"/>
      <c r="B479" s="5"/>
      <c r="C479" s="5"/>
      <c r="D479" s="5"/>
      <c r="E479" s="5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5"/>
      <c r="B480" s="5"/>
      <c r="C480" s="5"/>
      <c r="D480" s="5"/>
      <c r="E480" s="5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5"/>
      <c r="B481" s="5"/>
      <c r="C481" s="5"/>
      <c r="D481" s="5"/>
      <c r="E481" s="5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5"/>
      <c r="B482" s="5"/>
      <c r="C482" s="5"/>
      <c r="D482" s="5"/>
      <c r="E482" s="5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5"/>
      <c r="B483" s="5"/>
      <c r="C483" s="5"/>
      <c r="D483" s="5"/>
      <c r="E483" s="5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5"/>
      <c r="B484" s="5"/>
      <c r="C484" s="5"/>
      <c r="D484" s="5"/>
      <c r="E484" s="5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5"/>
      <c r="B485" s="5"/>
      <c r="C485" s="5"/>
      <c r="D485" s="5"/>
      <c r="E485" s="5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5"/>
      <c r="B486" s="5"/>
      <c r="C486" s="5"/>
      <c r="D486" s="5"/>
      <c r="E486" s="5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5"/>
      <c r="B487" s="5"/>
      <c r="C487" s="5"/>
      <c r="D487" s="5"/>
      <c r="E487" s="5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5"/>
      <c r="B488" s="5"/>
      <c r="C488" s="5"/>
      <c r="D488" s="5"/>
      <c r="E488" s="5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5"/>
      <c r="B489" s="5"/>
      <c r="C489" s="5"/>
      <c r="D489" s="5"/>
      <c r="E489" s="5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5"/>
      <c r="B490" s="5"/>
      <c r="C490" s="5"/>
      <c r="D490" s="5"/>
      <c r="E490" s="5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5"/>
      <c r="B491" s="5"/>
      <c r="C491" s="5"/>
      <c r="D491" s="5"/>
      <c r="E491" s="5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5"/>
      <c r="B492" s="5"/>
      <c r="C492" s="5"/>
      <c r="D492" s="5"/>
      <c r="E492" s="5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5"/>
      <c r="B493" s="5"/>
      <c r="C493" s="5"/>
      <c r="D493" s="5"/>
      <c r="E493" s="5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5"/>
      <c r="B494" s="5"/>
      <c r="C494" s="5"/>
      <c r="D494" s="5"/>
      <c r="E494" s="5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5"/>
      <c r="B495" s="5"/>
      <c r="C495" s="5"/>
      <c r="D495" s="5"/>
      <c r="E495" s="5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5"/>
      <c r="B496" s="5"/>
      <c r="C496" s="5"/>
      <c r="D496" s="5"/>
      <c r="E496" s="5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5"/>
      <c r="B497" s="5"/>
      <c r="C497" s="5"/>
      <c r="D497" s="5"/>
      <c r="E497" s="5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5"/>
      <c r="B498" s="5"/>
      <c r="C498" s="5"/>
      <c r="D498" s="5"/>
      <c r="E498" s="5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5"/>
      <c r="B499" s="5"/>
      <c r="C499" s="5"/>
      <c r="D499" s="5"/>
      <c r="E499" s="5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5"/>
      <c r="B500" s="5"/>
      <c r="C500" s="5"/>
      <c r="D500" s="5"/>
      <c r="E500" s="5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5"/>
      <c r="B501" s="5"/>
      <c r="C501" s="5"/>
      <c r="D501" s="5"/>
      <c r="E501" s="5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5"/>
      <c r="B502" s="5"/>
      <c r="C502" s="5"/>
      <c r="D502" s="5"/>
      <c r="E502" s="5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5"/>
      <c r="B503" s="5"/>
      <c r="C503" s="5"/>
      <c r="D503" s="5"/>
      <c r="E503" s="5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5"/>
      <c r="B504" s="5"/>
      <c r="C504" s="5"/>
      <c r="D504" s="5"/>
      <c r="E504" s="5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5"/>
      <c r="B505" s="5"/>
      <c r="C505" s="5"/>
      <c r="D505" s="5"/>
      <c r="E505" s="5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5"/>
      <c r="B506" s="5"/>
      <c r="C506" s="5"/>
      <c r="D506" s="5"/>
      <c r="E506" s="5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5"/>
      <c r="B507" s="5"/>
      <c r="C507" s="5"/>
      <c r="D507" s="5"/>
      <c r="E507" s="5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5"/>
      <c r="B508" s="5"/>
      <c r="C508" s="5"/>
      <c r="D508" s="5"/>
      <c r="E508" s="5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5"/>
      <c r="B509" s="5"/>
      <c r="C509" s="5"/>
      <c r="D509" s="5"/>
      <c r="E509" s="5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5"/>
      <c r="B510" s="5"/>
      <c r="C510" s="5"/>
      <c r="D510" s="5"/>
      <c r="E510" s="5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5"/>
      <c r="B511" s="5"/>
      <c r="C511" s="5"/>
      <c r="D511" s="5"/>
      <c r="E511" s="5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5"/>
      <c r="B512" s="5"/>
      <c r="C512" s="5"/>
      <c r="D512" s="5"/>
      <c r="E512" s="5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5"/>
      <c r="B513" s="5"/>
      <c r="C513" s="5"/>
      <c r="D513" s="5"/>
      <c r="E513" s="5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5"/>
      <c r="B514" s="5"/>
      <c r="C514" s="5"/>
      <c r="D514" s="5"/>
      <c r="E514" s="5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5"/>
      <c r="B515" s="5"/>
      <c r="C515" s="5"/>
      <c r="D515" s="5"/>
      <c r="E515" s="5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5"/>
      <c r="B516" s="5"/>
      <c r="C516" s="5"/>
      <c r="D516" s="5"/>
      <c r="E516" s="5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5"/>
      <c r="B517" s="5"/>
      <c r="C517" s="5"/>
      <c r="D517" s="5"/>
      <c r="E517" s="5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5"/>
      <c r="B518" s="5"/>
      <c r="C518" s="5"/>
      <c r="D518" s="5"/>
      <c r="E518" s="5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5"/>
      <c r="B519" s="5"/>
      <c r="C519" s="5"/>
      <c r="D519" s="5"/>
      <c r="E519" s="5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5"/>
      <c r="B520" s="5"/>
      <c r="C520" s="5"/>
      <c r="D520" s="5"/>
      <c r="E520" s="5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5"/>
      <c r="B521" s="5"/>
      <c r="C521" s="5"/>
      <c r="D521" s="5"/>
      <c r="E521" s="5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5"/>
      <c r="B522" s="5"/>
      <c r="C522" s="5"/>
      <c r="D522" s="5"/>
      <c r="E522" s="5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5"/>
      <c r="B523" s="5"/>
      <c r="C523" s="5"/>
      <c r="D523" s="5"/>
      <c r="E523" s="5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5"/>
      <c r="B524" s="5"/>
      <c r="C524" s="5"/>
      <c r="D524" s="5"/>
      <c r="E524" s="5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5"/>
      <c r="B525" s="5"/>
      <c r="C525" s="5"/>
      <c r="D525" s="5"/>
      <c r="E525" s="5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5"/>
      <c r="B526" s="5"/>
      <c r="C526" s="5"/>
      <c r="D526" s="5"/>
      <c r="E526" s="5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5"/>
      <c r="B527" s="5"/>
      <c r="C527" s="5"/>
      <c r="D527" s="5"/>
      <c r="E527" s="5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5"/>
      <c r="B528" s="5"/>
      <c r="C528" s="5"/>
      <c r="D528" s="5"/>
      <c r="E528" s="5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5"/>
      <c r="B529" s="5"/>
      <c r="C529" s="5"/>
      <c r="D529" s="5"/>
      <c r="E529" s="5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5"/>
      <c r="B530" s="5"/>
      <c r="C530" s="5"/>
      <c r="D530" s="5"/>
      <c r="E530" s="5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5"/>
      <c r="B531" s="5"/>
      <c r="C531" s="5"/>
      <c r="D531" s="5"/>
      <c r="E531" s="5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5"/>
      <c r="B532" s="5"/>
      <c r="C532" s="5"/>
      <c r="D532" s="5"/>
      <c r="E532" s="5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5"/>
      <c r="B533" s="5"/>
      <c r="C533" s="5"/>
      <c r="D533" s="5"/>
      <c r="E533" s="5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5"/>
      <c r="B534" s="5"/>
      <c r="C534" s="5"/>
      <c r="D534" s="5"/>
      <c r="E534" s="5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5"/>
      <c r="B535" s="5"/>
      <c r="C535" s="5"/>
      <c r="D535" s="5"/>
      <c r="E535" s="5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5"/>
      <c r="B536" s="5"/>
      <c r="C536" s="5"/>
      <c r="D536" s="5"/>
      <c r="E536" s="5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5"/>
      <c r="B537" s="5"/>
      <c r="C537" s="5"/>
      <c r="D537" s="5"/>
      <c r="E537" s="5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5"/>
      <c r="B538" s="5"/>
      <c r="C538" s="5"/>
      <c r="D538" s="5"/>
      <c r="E538" s="5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5"/>
      <c r="B539" s="5"/>
      <c r="C539" s="5"/>
      <c r="D539" s="5"/>
      <c r="E539" s="5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5"/>
      <c r="B540" s="5"/>
      <c r="C540" s="5"/>
      <c r="D540" s="5"/>
      <c r="E540" s="5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5"/>
      <c r="B541" s="5"/>
      <c r="C541" s="5"/>
      <c r="D541" s="5"/>
      <c r="E541" s="5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5"/>
      <c r="B542" s="5"/>
      <c r="C542" s="5"/>
      <c r="D542" s="5"/>
      <c r="E542" s="5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5"/>
      <c r="B543" s="5"/>
      <c r="C543" s="5"/>
      <c r="D543" s="5"/>
      <c r="E543" s="5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5"/>
      <c r="B544" s="5"/>
      <c r="C544" s="5"/>
      <c r="D544" s="5"/>
      <c r="E544" s="5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5"/>
      <c r="B545" s="5"/>
      <c r="C545" s="5"/>
      <c r="D545" s="5"/>
      <c r="E545" s="5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5"/>
      <c r="B546" s="5"/>
      <c r="C546" s="5"/>
      <c r="D546" s="5"/>
      <c r="E546" s="5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5"/>
      <c r="B547" s="5"/>
      <c r="C547" s="5"/>
      <c r="D547" s="5"/>
      <c r="E547" s="5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5"/>
      <c r="B548" s="5"/>
      <c r="C548" s="5"/>
      <c r="D548" s="5"/>
      <c r="E548" s="5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5"/>
      <c r="B549" s="5"/>
      <c r="C549" s="5"/>
      <c r="D549" s="5"/>
      <c r="E549" s="5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5"/>
      <c r="B550" s="5"/>
      <c r="C550" s="5"/>
      <c r="D550" s="5"/>
      <c r="E550" s="5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5"/>
      <c r="B551" s="5"/>
      <c r="C551" s="5"/>
      <c r="D551" s="5"/>
      <c r="E551" s="5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5"/>
      <c r="B552" s="5"/>
      <c r="C552" s="5"/>
      <c r="D552" s="5"/>
      <c r="E552" s="5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5"/>
      <c r="B553" s="5"/>
      <c r="C553" s="5"/>
      <c r="D553" s="5"/>
      <c r="E553" s="5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5"/>
      <c r="B554" s="5"/>
      <c r="C554" s="5"/>
      <c r="D554" s="5"/>
      <c r="E554" s="5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5"/>
      <c r="B555" s="5"/>
      <c r="C555" s="5"/>
      <c r="D555" s="5"/>
      <c r="E555" s="5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5"/>
      <c r="B556" s="5"/>
      <c r="C556" s="5"/>
      <c r="D556" s="5"/>
      <c r="E556" s="5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5"/>
      <c r="B557" s="5"/>
      <c r="C557" s="5"/>
      <c r="D557" s="5"/>
      <c r="E557" s="5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5"/>
      <c r="B558" s="5"/>
      <c r="C558" s="5"/>
      <c r="D558" s="5"/>
      <c r="E558" s="5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5"/>
      <c r="B559" s="5"/>
      <c r="C559" s="5"/>
      <c r="D559" s="5"/>
      <c r="E559" s="5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5"/>
      <c r="B560" s="5"/>
      <c r="C560" s="5"/>
      <c r="D560" s="5"/>
      <c r="E560" s="5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5"/>
      <c r="B561" s="5"/>
      <c r="C561" s="5"/>
      <c r="D561" s="5"/>
      <c r="E561" s="5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5"/>
      <c r="B562" s="5"/>
      <c r="C562" s="5"/>
      <c r="D562" s="5"/>
      <c r="E562" s="5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5"/>
      <c r="B563" s="5"/>
      <c r="C563" s="5"/>
      <c r="D563" s="5"/>
      <c r="E563" s="5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5"/>
      <c r="B564" s="5"/>
      <c r="C564" s="5"/>
      <c r="D564" s="5"/>
      <c r="E564" s="5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5"/>
      <c r="B565" s="5"/>
      <c r="C565" s="5"/>
      <c r="D565" s="5"/>
      <c r="E565" s="5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5"/>
      <c r="B566" s="5"/>
      <c r="C566" s="5"/>
      <c r="D566" s="5"/>
      <c r="E566" s="5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5"/>
      <c r="B567" s="5"/>
      <c r="C567" s="5"/>
      <c r="D567" s="5"/>
      <c r="E567" s="5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5"/>
      <c r="B568" s="5"/>
      <c r="C568" s="5"/>
      <c r="D568" s="5"/>
      <c r="E568" s="5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5"/>
      <c r="B569" s="5"/>
      <c r="C569" s="5"/>
      <c r="D569" s="5"/>
      <c r="E569" s="5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5"/>
      <c r="B570" s="5"/>
      <c r="C570" s="5"/>
      <c r="D570" s="5"/>
      <c r="E570" s="5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5"/>
      <c r="B571" s="5"/>
      <c r="C571" s="5"/>
      <c r="D571" s="5"/>
      <c r="E571" s="5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5"/>
      <c r="B572" s="5"/>
      <c r="C572" s="5"/>
      <c r="D572" s="5"/>
      <c r="E572" s="5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5"/>
      <c r="B573" s="5"/>
      <c r="C573" s="5"/>
      <c r="D573" s="5"/>
      <c r="E573" s="5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5"/>
      <c r="B574" s="5"/>
      <c r="C574" s="5"/>
      <c r="D574" s="5"/>
      <c r="E574" s="5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5"/>
      <c r="B575" s="5"/>
      <c r="C575" s="5"/>
      <c r="D575" s="5"/>
      <c r="E575" s="5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5"/>
      <c r="B576" s="5"/>
      <c r="C576" s="5"/>
      <c r="D576" s="5"/>
      <c r="E576" s="5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5"/>
      <c r="B577" s="5"/>
      <c r="C577" s="5"/>
      <c r="D577" s="5"/>
      <c r="E577" s="5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5"/>
      <c r="B578" s="5"/>
      <c r="C578" s="5"/>
      <c r="D578" s="5"/>
      <c r="E578" s="5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5"/>
      <c r="B579" s="5"/>
      <c r="C579" s="5"/>
      <c r="D579" s="5"/>
      <c r="E579" s="5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5"/>
      <c r="B580" s="5"/>
      <c r="C580" s="5"/>
      <c r="D580" s="5"/>
      <c r="E580" s="5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5"/>
      <c r="B581" s="5"/>
      <c r="C581" s="5"/>
      <c r="D581" s="5"/>
      <c r="E581" s="5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5"/>
      <c r="B582" s="5"/>
      <c r="C582" s="5"/>
      <c r="D582" s="5"/>
      <c r="E582" s="5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5"/>
      <c r="B583" s="5"/>
      <c r="C583" s="5"/>
      <c r="D583" s="5"/>
      <c r="E583" s="5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5"/>
      <c r="B584" s="5"/>
      <c r="C584" s="5"/>
      <c r="D584" s="5"/>
      <c r="E584" s="5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5"/>
      <c r="B585" s="5"/>
      <c r="C585" s="5"/>
      <c r="D585" s="5"/>
      <c r="E585" s="5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5"/>
      <c r="B586" s="5"/>
      <c r="C586" s="5"/>
      <c r="D586" s="5"/>
      <c r="E586" s="5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5"/>
      <c r="B587" s="5"/>
      <c r="C587" s="5"/>
      <c r="D587" s="5"/>
      <c r="E587" s="5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8" max="8" width="21.25"/>
  </cols>
  <sheetData>
    <row r="1" ht="7.5" customHeight="1">
      <c r="A1" s="6"/>
      <c r="B1" s="7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8">
        <v>1.0</v>
      </c>
      <c r="C3" s="9">
        <f t="array" ref="C3">IFERROR(INDEX(Data!A:A, MATCH($B3, Data!$F:$F, 0)), "")</f>
        <v>5736</v>
      </c>
      <c r="D3" s="9">
        <f t="array" ref="D3">IFERROR(INDEX(Data!B:B, MATCH($B3, Data!$F:$F, 0)), "")</f>
        <v>225.59</v>
      </c>
      <c r="E3" s="9">
        <f t="array" ref="E3">IFERROR(INDEX(Data!C:C, MATCH($B3, Data!$F:$F, 0)), "")</f>
        <v>63.46</v>
      </c>
      <c r="F3" s="9">
        <f t="array" ref="F3">IFERROR(INDEX(Data!D:D, MATCH($B3, Data!$F:$F, 0)), "")</f>
        <v>116.46</v>
      </c>
      <c r="G3" s="9">
        <f t="array" ref="G3">IFERROR(INDEX(Data!E:E, MATCH($B3, Data!$F:$F, 0)), "")</f>
        <v>45.66</v>
      </c>
      <c r="H3" s="9" t="str">
        <f t="shared" ref="H3:H62" si="1">INDIRECT("'"&amp;C3&amp;"'!M12")</f>
        <v>#REF!</v>
      </c>
      <c r="I3" s="9" t="str">
        <f t="shared" ref="I3:I62" si="2">INDIRECT("'"&amp;C3&amp;"'!j12")</f>
        <v>#REF!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8">
        <v>2.0</v>
      </c>
      <c r="C4" s="9">
        <f t="array" ref="C4">IFERROR(INDEX(Data!A:A, MATCH($B4, Data!$F:$F, 0)), "")</f>
        <v>870</v>
      </c>
      <c r="D4" s="9">
        <f t="array" ref="D4">IFERROR(INDEX(Data!B:B, MATCH($B4, Data!$F:$F, 0)), "")</f>
        <v>174.74</v>
      </c>
      <c r="E4" s="9">
        <f t="array" ref="E4">IFERROR(INDEX(Data!C:C, MATCH($B4, Data!$F:$F, 0)), "")</f>
        <v>46.69</v>
      </c>
      <c r="F4" s="9">
        <f t="array" ref="F4">IFERROR(INDEX(Data!D:D, MATCH($B4, Data!$F:$F, 0)), "")</f>
        <v>94.46</v>
      </c>
      <c r="G4" s="9">
        <f t="array" ref="G4">IFERROR(INDEX(Data!E:E, MATCH($B4, Data!$F:$F, 0)), "")</f>
        <v>33.59</v>
      </c>
      <c r="H4" s="9" t="str">
        <f t="shared" si="1"/>
        <v>#REF!</v>
      </c>
      <c r="I4" s="9" t="str">
        <f t="shared" si="2"/>
        <v>#REF!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8">
        <v>3.0</v>
      </c>
      <c r="C5" s="9">
        <f t="array" ref="C5">IFERROR(INDEX(Data!A:A, MATCH($B5, Data!$F:$F, 0)), "")</f>
        <v>287</v>
      </c>
      <c r="D5" s="9">
        <f t="array" ref="D5">IFERROR(INDEX(Data!B:B, MATCH($B5, Data!$F:$F, 0)), "")</f>
        <v>121.73</v>
      </c>
      <c r="E5" s="9">
        <f t="array" ref="E5">IFERROR(INDEX(Data!C:C, MATCH($B5, Data!$F:$F, 0)), "")</f>
        <v>23.87</v>
      </c>
      <c r="F5" s="9">
        <f t="array" ref="F5">IFERROR(INDEX(Data!D:D, MATCH($B5, Data!$F:$F, 0)), "")</f>
        <v>76.37</v>
      </c>
      <c r="G5" s="9">
        <f t="array" ref="G5">IFERROR(INDEX(Data!E:E, MATCH($B5, Data!$F:$F, 0)), "")</f>
        <v>21.49</v>
      </c>
      <c r="H5" s="9" t="str">
        <f t="shared" si="1"/>
        <v>#REF!</v>
      </c>
      <c r="I5" s="9" t="str">
        <f t="shared" si="2"/>
        <v>#REF!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8">
        <v>4.0</v>
      </c>
      <c r="C6" s="9">
        <f t="array" ref="C6">IFERROR(INDEX(Data!A:A, MATCH($B6, Data!$F:$F, 0)), "")</f>
        <v>1880</v>
      </c>
      <c r="D6" s="9">
        <f t="array" ref="D6">IFERROR(INDEX(Data!B:B, MATCH($B6, Data!$F:$F, 0)), "")</f>
        <v>74.96</v>
      </c>
      <c r="E6" s="9">
        <f t="array" ref="E6">IFERROR(INDEX(Data!C:C, MATCH($B6, Data!$F:$F, 0)), "")</f>
        <v>11.69</v>
      </c>
      <c r="F6" s="9">
        <f t="array" ref="F6">IFERROR(INDEX(Data!D:D, MATCH($B6, Data!$F:$F, 0)), "")</f>
        <v>45.83</v>
      </c>
      <c r="G6" s="9">
        <f t="array" ref="G6">IFERROR(INDEX(Data!E:E, MATCH($B6, Data!$F:$F, 0)), "")</f>
        <v>17.44</v>
      </c>
      <c r="H6" s="9" t="str">
        <f t="shared" si="1"/>
        <v>#REF!</v>
      </c>
      <c r="I6" s="9" t="str">
        <f t="shared" si="2"/>
        <v>#REF!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8">
        <v>5.0</v>
      </c>
      <c r="C7" s="9">
        <f t="array" ref="C7">IFERROR(INDEX(Data!A:A, MATCH($B7, Data!$F:$F, 0)), "")</f>
        <v>2638</v>
      </c>
      <c r="D7" s="9">
        <f t="array" ref="D7">IFERROR(INDEX(Data!B:B, MATCH($B7, Data!$F:$F, 0)), "")</f>
        <v>130.91</v>
      </c>
      <c r="E7" s="9">
        <f t="array" ref="E7">IFERROR(INDEX(Data!C:C, MATCH($B7, Data!$F:$F, 0)), "")</f>
        <v>28.57</v>
      </c>
      <c r="F7" s="9">
        <f t="array" ref="F7">IFERROR(INDEX(Data!D:D, MATCH($B7, Data!$F:$F, 0)), "")</f>
        <v>75.29</v>
      </c>
      <c r="G7" s="9">
        <f t="array" ref="G7">IFERROR(INDEX(Data!E:E, MATCH($B7, Data!$F:$F, 0)), "")</f>
        <v>27.06</v>
      </c>
      <c r="H7" s="9" t="str">
        <f t="shared" si="1"/>
        <v>#REF!</v>
      </c>
      <c r="I7" s="9" t="str">
        <f t="shared" si="2"/>
        <v>#REF!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8">
        <v>6.0</v>
      </c>
      <c r="C8" s="9">
        <f t="array" ref="C8">IFERROR(INDEX(Data!A:A, MATCH($B8, Data!$F:$F, 0)), "")</f>
        <v>810</v>
      </c>
      <c r="D8" s="9">
        <f t="array" ref="D8">IFERROR(INDEX(Data!B:B, MATCH($B8, Data!$F:$F, 0)), "")</f>
        <v>74.35</v>
      </c>
      <c r="E8" s="9">
        <f t="array" ref="E8">IFERROR(INDEX(Data!C:C, MATCH($B8, Data!$F:$F, 0)), "")</f>
        <v>19.87</v>
      </c>
      <c r="F8" s="9">
        <f t="array" ref="F8">IFERROR(INDEX(Data!D:D, MATCH($B8, Data!$F:$F, 0)), "")</f>
        <v>36.47</v>
      </c>
      <c r="G8" s="9">
        <f t="array" ref="G8">IFERROR(INDEX(Data!E:E, MATCH($B8, Data!$F:$F, 0)), "")</f>
        <v>18.01</v>
      </c>
      <c r="H8" s="9" t="str">
        <f t="shared" si="1"/>
        <v>#REF!</v>
      </c>
      <c r="I8" s="9" t="str">
        <f t="shared" si="2"/>
        <v>#REF!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8">
        <v>7.0</v>
      </c>
      <c r="C9" s="9">
        <f t="array" ref="C9">IFERROR(INDEX(Data!A:A, MATCH($B9, Data!$F:$F, 0)), "")</f>
        <v>2872</v>
      </c>
      <c r="D9" s="9">
        <f t="array" ref="D9">IFERROR(INDEX(Data!B:B, MATCH($B9, Data!$F:$F, 0)), "")</f>
        <v>113.91</v>
      </c>
      <c r="E9" s="9">
        <f t="array" ref="E9">IFERROR(INDEX(Data!C:C, MATCH($B9, Data!$F:$F, 0)), "")</f>
        <v>19.09</v>
      </c>
      <c r="F9" s="9">
        <f t="array" ref="F9">IFERROR(INDEX(Data!D:D, MATCH($B9, Data!$F:$F, 0)), "")</f>
        <v>70.65</v>
      </c>
      <c r="G9" s="9">
        <f t="array" ref="G9">IFERROR(INDEX(Data!E:E, MATCH($B9, Data!$F:$F, 0)), "")</f>
        <v>24.17</v>
      </c>
      <c r="H9" s="9" t="str">
        <f t="shared" si="1"/>
        <v>#REF!</v>
      </c>
      <c r="I9" s="9" t="str">
        <f t="shared" si="2"/>
        <v>#REF!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8">
        <v>8.0</v>
      </c>
      <c r="C10" s="9">
        <f t="array" ref="C10">IFERROR(INDEX(Data!A:A, MATCH($B10, Data!$F:$F, 0)), "")</f>
        <v>353</v>
      </c>
      <c r="D10" s="9">
        <f t="array" ref="D10">IFERROR(INDEX(Data!B:B, MATCH($B10, Data!$F:$F, 0)), "")</f>
        <v>59.82</v>
      </c>
      <c r="E10" s="9">
        <f t="array" ref="E10">IFERROR(INDEX(Data!C:C, MATCH($B10, Data!$F:$F, 0)), "")</f>
        <v>8.83</v>
      </c>
      <c r="F10" s="9">
        <f t="array" ref="F10">IFERROR(INDEX(Data!D:D, MATCH($B10, Data!$F:$F, 0)), "")</f>
        <v>37.18</v>
      </c>
      <c r="G10" s="9">
        <f t="array" ref="G10">IFERROR(INDEX(Data!E:E, MATCH($B10, Data!$F:$F, 0)), "")</f>
        <v>13.81</v>
      </c>
      <c r="H10" s="9" t="str">
        <f t="shared" si="1"/>
        <v>#REF!</v>
      </c>
      <c r="I10" s="9" t="str">
        <f t="shared" si="2"/>
        <v>#REF!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8">
        <v>9.0</v>
      </c>
      <c r="C11" s="9">
        <f t="array" ref="C11">IFERROR(INDEX(Data!A:A, MATCH($B11, Data!$F:$F, 0)), "")</f>
        <v>1554</v>
      </c>
      <c r="D11" s="9">
        <f t="array" ref="D11">IFERROR(INDEX(Data!B:B, MATCH($B11, Data!$F:$F, 0)), "")</f>
        <v>44.18</v>
      </c>
      <c r="E11" s="9">
        <f t="array" ref="E11">IFERROR(INDEX(Data!C:C, MATCH($B11, Data!$F:$F, 0)), "")</f>
        <v>11.06</v>
      </c>
      <c r="F11" s="9">
        <f t="array" ref="F11">IFERROR(INDEX(Data!D:D, MATCH($B11, Data!$F:$F, 0)), "")</f>
        <v>31.23</v>
      </c>
      <c r="G11" s="9">
        <f t="array" ref="G11">IFERROR(INDEX(Data!E:E, MATCH($B11, Data!$F:$F, 0)), "")</f>
        <v>1.89</v>
      </c>
      <c r="H11" s="9" t="str">
        <f t="shared" si="1"/>
        <v>#REF!</v>
      </c>
      <c r="I11" s="9" t="str">
        <f t="shared" si="2"/>
        <v>#REF!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8">
        <v>10.0</v>
      </c>
      <c r="C12" s="9">
        <f t="array" ref="C12">IFERROR(INDEX(Data!A:A, MATCH($B12, Data!$F:$F, 0)), "")</f>
        <v>4458</v>
      </c>
      <c r="D12" s="9">
        <f t="array" ref="D12">IFERROR(INDEX(Data!B:B, MATCH($B12, Data!$F:$F, 0)), "")</f>
        <v>43.67</v>
      </c>
      <c r="E12" s="9">
        <f t="array" ref="E12">IFERROR(INDEX(Data!C:C, MATCH($B12, Data!$F:$F, 0)), "")</f>
        <v>9.36</v>
      </c>
      <c r="F12" s="9">
        <f t="array" ref="F12">IFERROR(INDEX(Data!D:D, MATCH($B12, Data!$F:$F, 0)), "")</f>
        <v>19.57</v>
      </c>
      <c r="G12" s="9">
        <f t="array" ref="G12">IFERROR(INDEX(Data!E:E, MATCH($B12, Data!$F:$F, 0)), "")</f>
        <v>14.73</v>
      </c>
      <c r="H12" s="9" t="str">
        <f t="shared" si="1"/>
        <v>#REF!</v>
      </c>
      <c r="I12" s="9" t="str">
        <f t="shared" si="2"/>
        <v>#REF!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8">
        <v>11.0</v>
      </c>
      <c r="C13" s="9">
        <f t="array" ref="C13">IFERROR(INDEX(Data!A:A, MATCH($B13, Data!$F:$F, 0)), "")</f>
        <v>1468</v>
      </c>
      <c r="D13" s="9">
        <f t="array" ref="D13">IFERROR(INDEX(Data!B:B, MATCH($B13, Data!$F:$F, 0)), "")</f>
        <v>43.6</v>
      </c>
      <c r="E13" s="9">
        <f t="array" ref="E13">IFERROR(INDEX(Data!C:C, MATCH($B13, Data!$F:$F, 0)), "")</f>
        <v>10.57</v>
      </c>
      <c r="F13" s="9">
        <f t="array" ref="F13">IFERROR(INDEX(Data!D:D, MATCH($B13, Data!$F:$F, 0)), "")</f>
        <v>23.09</v>
      </c>
      <c r="G13" s="9">
        <f t="array" ref="G13">IFERROR(INDEX(Data!E:E, MATCH($B13, Data!$F:$F, 0)), "")</f>
        <v>9.94</v>
      </c>
      <c r="H13" s="9" t="str">
        <f t="shared" si="1"/>
        <v>#REF!</v>
      </c>
      <c r="I13" s="9" t="str">
        <f t="shared" si="2"/>
        <v>#REF!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8">
        <v>12.0</v>
      </c>
      <c r="C14" s="9">
        <f t="array" ref="C14">IFERROR(INDEX(Data!A:A, MATCH($B14, Data!$F:$F, 0)), "")</f>
        <v>263</v>
      </c>
      <c r="D14" s="9">
        <f t="array" ref="D14">IFERROR(INDEX(Data!B:B, MATCH($B14, Data!$F:$F, 0)), "")</f>
        <v>79.71</v>
      </c>
      <c r="E14" s="9">
        <f t="array" ref="E14">IFERROR(INDEX(Data!C:C, MATCH($B14, Data!$F:$F, 0)), "")</f>
        <v>17.33</v>
      </c>
      <c r="F14" s="9">
        <f t="array" ref="F14">IFERROR(INDEX(Data!D:D, MATCH($B14, Data!$F:$F, 0)), "")</f>
        <v>41.46</v>
      </c>
      <c r="G14" s="9">
        <f t="array" ref="G14">IFERROR(INDEX(Data!E:E, MATCH($B14, Data!$F:$F, 0)), "")</f>
        <v>20.92</v>
      </c>
      <c r="H14" s="9" t="str">
        <f t="shared" si="1"/>
        <v/>
      </c>
      <c r="I14" s="9" t="str">
        <f t="shared" si="2"/>
        <v/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8">
        <v>13.0</v>
      </c>
      <c r="C15" s="9">
        <f t="array" ref="C15">IFERROR(INDEX(Data!A:A, MATCH($B15, Data!$F:$F, 0)), "")</f>
        <v>6423</v>
      </c>
      <c r="D15" s="9">
        <f t="array" ref="D15">IFERROR(INDEX(Data!B:B, MATCH($B15, Data!$F:$F, 0)), "")</f>
        <v>50.75</v>
      </c>
      <c r="E15" s="9">
        <f t="array" ref="E15">IFERROR(INDEX(Data!C:C, MATCH($B15, Data!$F:$F, 0)), "")</f>
        <v>5.28</v>
      </c>
      <c r="F15" s="9">
        <f t="array" ref="F15">IFERROR(INDEX(Data!D:D, MATCH($B15, Data!$F:$F, 0)), "")</f>
        <v>30.25</v>
      </c>
      <c r="G15" s="9">
        <f t="array" ref="G15">IFERROR(INDEX(Data!E:E, MATCH($B15, Data!$F:$F, 0)), "")</f>
        <v>15.22</v>
      </c>
      <c r="H15" s="9" t="str">
        <f t="shared" si="1"/>
        <v>#REF!</v>
      </c>
      <c r="I15" s="9" t="str">
        <f t="shared" si="2"/>
        <v>#REF!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8">
        <v>14.0</v>
      </c>
      <c r="C16" s="9">
        <f t="array" ref="C16">IFERROR(INDEX(Data!A:A, MATCH($B16, Data!$F:$F, 0)), "")</f>
        <v>1546</v>
      </c>
      <c r="D16" s="9">
        <f t="array" ref="D16">IFERROR(INDEX(Data!B:B, MATCH($B16, Data!$F:$F, 0)), "")</f>
        <v>33.62</v>
      </c>
      <c r="E16" s="9">
        <f t="array" ref="E16">IFERROR(INDEX(Data!C:C, MATCH($B16, Data!$F:$F, 0)), "")</f>
        <v>9.41</v>
      </c>
      <c r="F16" s="9">
        <f t="array" ref="F16">IFERROR(INDEX(Data!D:D, MATCH($B16, Data!$F:$F, 0)), "")</f>
        <v>17.42</v>
      </c>
      <c r="G16" s="9">
        <f t="array" ref="G16">IFERROR(INDEX(Data!E:E, MATCH($B16, Data!$F:$F, 0)), "")</f>
        <v>6.78</v>
      </c>
      <c r="H16" s="9" t="str">
        <f t="shared" si="1"/>
        <v>#REF!</v>
      </c>
      <c r="I16" s="9" t="str">
        <f t="shared" si="2"/>
        <v>#REF!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8">
        <v>15.0</v>
      </c>
      <c r="C17" s="9">
        <f t="array" ref="C17">IFERROR(INDEX(Data!A:A, MATCH($B17, Data!$F:$F, 0)), "")</f>
        <v>8267</v>
      </c>
      <c r="D17" s="9">
        <f t="array" ref="D17">IFERROR(INDEX(Data!B:B, MATCH($B17, Data!$F:$F, 0)), "")</f>
        <v>124.23</v>
      </c>
      <c r="E17" s="9">
        <f t="array" ref="E17">IFERROR(INDEX(Data!C:C, MATCH($B17, Data!$F:$F, 0)), "")</f>
        <v>28.83</v>
      </c>
      <c r="F17" s="9">
        <f t="array" ref="F17">IFERROR(INDEX(Data!D:D, MATCH($B17, Data!$F:$F, 0)), "")</f>
        <v>67.1</v>
      </c>
      <c r="G17" s="9">
        <f t="array" ref="G17">IFERROR(INDEX(Data!E:E, MATCH($B17, Data!$F:$F, 0)), "")</f>
        <v>28.3</v>
      </c>
      <c r="H17" s="9" t="str">
        <f t="shared" si="1"/>
        <v>#REF!</v>
      </c>
      <c r="I17" s="9" t="str">
        <f t="shared" si="2"/>
        <v>#REF!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8">
        <v>16.0</v>
      </c>
      <c r="C18" s="9">
        <f t="array" ref="C18">IFERROR(INDEX(Data!A:A, MATCH($B18, Data!$F:$F, 0)), "")</f>
        <v>3950</v>
      </c>
      <c r="D18" s="9">
        <f t="array" ref="D18">IFERROR(INDEX(Data!B:B, MATCH($B18, Data!$F:$F, 0)), "")</f>
        <v>77.52</v>
      </c>
      <c r="E18" s="9">
        <f t="array" ref="E18">IFERROR(INDEX(Data!C:C, MATCH($B18, Data!$F:$F, 0)), "")</f>
        <v>21.16</v>
      </c>
      <c r="F18" s="9">
        <f t="array" ref="F18">IFERROR(INDEX(Data!D:D, MATCH($B18, Data!$F:$F, 0)), "")</f>
        <v>42.31</v>
      </c>
      <c r="G18" s="9">
        <f t="array" ref="G18">IFERROR(INDEX(Data!E:E, MATCH($B18, Data!$F:$F, 0)), "")</f>
        <v>14.06</v>
      </c>
      <c r="H18" s="9" t="str">
        <f t="shared" si="1"/>
        <v>#REF!</v>
      </c>
      <c r="I18" s="9" t="str">
        <f t="shared" si="2"/>
        <v>#REF!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8">
        <v>17.0</v>
      </c>
      <c r="C19" s="9">
        <f t="array" ref="C19">IFERROR(INDEX(Data!A:A, MATCH($B19, Data!$F:$F, 0)), "")</f>
        <v>358</v>
      </c>
      <c r="D19" s="9">
        <f t="array" ref="D19">IFERROR(INDEX(Data!B:B, MATCH($B19, Data!$F:$F, 0)), "")</f>
        <v>67.35</v>
      </c>
      <c r="E19" s="9">
        <f t="array" ref="E19">IFERROR(INDEX(Data!C:C, MATCH($B19, Data!$F:$F, 0)), "")</f>
        <v>15.76</v>
      </c>
      <c r="F19" s="9">
        <f t="array" ref="F19">IFERROR(INDEX(Data!D:D, MATCH($B19, Data!$F:$F, 0)), "")</f>
        <v>34.95</v>
      </c>
      <c r="G19" s="9">
        <f t="array" ref="G19">IFERROR(INDEX(Data!E:E, MATCH($B19, Data!$F:$F, 0)), "")</f>
        <v>16.64</v>
      </c>
      <c r="H19" s="9" t="str">
        <f t="shared" si="1"/>
        <v>#REF!</v>
      </c>
      <c r="I19" s="9" t="str">
        <f t="shared" si="2"/>
        <v>#REF!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8">
        <v>18.0</v>
      </c>
      <c r="C20" s="9">
        <f t="array" ref="C20">IFERROR(INDEX(Data!A:A, MATCH($B20, Data!$F:$F, 0)), "")</f>
        <v>496</v>
      </c>
      <c r="D20" s="9">
        <f t="array" ref="D20">IFERROR(INDEX(Data!B:B, MATCH($B20, Data!$F:$F, 0)), "")</f>
        <v>46.7</v>
      </c>
      <c r="E20" s="9">
        <f t="array" ref="E20">IFERROR(INDEX(Data!C:C, MATCH($B20, Data!$F:$F, 0)), "")</f>
        <v>6.82</v>
      </c>
      <c r="F20" s="9">
        <f t="array" ref="F20">IFERROR(INDEX(Data!D:D, MATCH($B20, Data!$F:$F, 0)), "")</f>
        <v>26.35</v>
      </c>
      <c r="G20" s="9">
        <f t="array" ref="G20">IFERROR(INDEX(Data!E:E, MATCH($B20, Data!$F:$F, 0)), "")</f>
        <v>13.53</v>
      </c>
      <c r="H20" s="9" t="str">
        <f t="shared" si="1"/>
        <v>#REF!</v>
      </c>
      <c r="I20" s="9" t="str">
        <f t="shared" si="2"/>
        <v>#REF!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8">
        <v>19.0</v>
      </c>
      <c r="C21" s="9">
        <f t="array" ref="C21">IFERROR(INDEX(Data!A:A, MATCH($B21, Data!$F:$F, 0)), "")</f>
        <v>1803</v>
      </c>
      <c r="D21" s="9">
        <f t="array" ref="D21">IFERROR(INDEX(Data!B:B, MATCH($B21, Data!$F:$F, 0)), "")</f>
        <v>27.5</v>
      </c>
      <c r="E21" s="9">
        <f t="array" ref="E21">IFERROR(INDEX(Data!C:C, MATCH($B21, Data!$F:$F, 0)), "")</f>
        <v>7.49</v>
      </c>
      <c r="F21" s="9">
        <f t="array" ref="F21">IFERROR(INDEX(Data!D:D, MATCH($B21, Data!$F:$F, 0)), "")</f>
        <v>14.61</v>
      </c>
      <c r="G21" s="9">
        <f t="array" ref="G21">IFERROR(INDEX(Data!E:E, MATCH($B21, Data!$F:$F, 0)), "")</f>
        <v>5.39</v>
      </c>
      <c r="H21" s="9" t="str">
        <f t="shared" si="1"/>
        <v>#REF!</v>
      </c>
      <c r="I21" s="9" t="str">
        <f t="shared" si="2"/>
        <v>#REF!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8">
        <v>20.0</v>
      </c>
      <c r="C22" s="9">
        <f t="array" ref="C22">IFERROR(INDEX(Data!A:A, MATCH($B22, Data!$F:$F, 0)), "")</f>
        <v>2347</v>
      </c>
      <c r="D22" s="9">
        <f t="array" ref="D22">IFERROR(INDEX(Data!B:B, MATCH($B22, Data!$F:$F, 0)), "")</f>
        <v>20.29</v>
      </c>
      <c r="E22" s="9">
        <f t="array" ref="E22">IFERROR(INDEX(Data!C:C, MATCH($B22, Data!$F:$F, 0)), "")</f>
        <v>6.65</v>
      </c>
      <c r="F22" s="9">
        <f t="array" ref="F22">IFERROR(INDEX(Data!D:D, MATCH($B22, Data!$F:$F, 0)), "")</f>
        <v>10.59</v>
      </c>
      <c r="G22" s="9">
        <f t="array" ref="G22">IFERROR(INDEX(Data!E:E, MATCH($B22, Data!$F:$F, 0)), "")</f>
        <v>3.05</v>
      </c>
      <c r="H22" s="9" t="str">
        <f t="shared" si="1"/>
        <v>#REF!</v>
      </c>
      <c r="I22" s="9" t="str">
        <f t="shared" si="2"/>
        <v>#REF!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8">
        <v>21.0</v>
      </c>
      <c r="C23" s="9">
        <f t="array" ref="C23">IFERROR(INDEX(Data!A:A, MATCH($B23, Data!$F:$F, 0)), "")</f>
        <v>533</v>
      </c>
      <c r="D23" s="9">
        <f t="array" ref="D23">IFERROR(INDEX(Data!B:B, MATCH($B23, Data!$F:$F, 0)), "")</f>
        <v>22.41</v>
      </c>
      <c r="E23" s="9">
        <f t="array" ref="E23">IFERROR(INDEX(Data!C:C, MATCH($B23, Data!$F:$F, 0)), "")</f>
        <v>9.65</v>
      </c>
      <c r="F23" s="9">
        <f t="array" ref="F23">IFERROR(INDEX(Data!D:D, MATCH($B23, Data!$F:$F, 0)), "")</f>
        <v>6.08</v>
      </c>
      <c r="G23" s="9">
        <f t="array" ref="G23">IFERROR(INDEX(Data!E:E, MATCH($B23, Data!$F:$F, 0)), "")</f>
        <v>6.68</v>
      </c>
      <c r="H23" s="9" t="str">
        <f t="shared" si="1"/>
        <v>#REF!</v>
      </c>
      <c r="I23" s="9" t="str">
        <f t="shared" si="2"/>
        <v>#REF!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8">
        <v>22.0</v>
      </c>
      <c r="C24" s="9">
        <f t="array" ref="C24">IFERROR(INDEX(Data!A:A, MATCH($B24, Data!$F:$F, 0)), "")</f>
        <v>9646</v>
      </c>
      <c r="D24" s="9">
        <f t="array" ref="D24">IFERROR(INDEX(Data!B:B, MATCH($B24, Data!$F:$F, 0)), "")</f>
        <v>38.43</v>
      </c>
      <c r="E24" s="9">
        <f t="array" ref="E24">IFERROR(INDEX(Data!C:C, MATCH($B24, Data!$F:$F, 0)), "")</f>
        <v>7.46</v>
      </c>
      <c r="F24" s="9">
        <f t="array" ref="F24">IFERROR(INDEX(Data!D:D, MATCH($B24, Data!$F:$F, 0)), "")</f>
        <v>23</v>
      </c>
      <c r="G24" s="9">
        <f t="array" ref="G24">IFERROR(INDEX(Data!E:E, MATCH($B24, Data!$F:$F, 0)), "")</f>
        <v>7.98</v>
      </c>
      <c r="H24" s="9" t="str">
        <f t="shared" si="1"/>
        <v>#REF!</v>
      </c>
      <c r="I24" s="9" t="str">
        <f t="shared" si="2"/>
        <v>#REF!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8">
        <v>23.0</v>
      </c>
      <c r="C25" s="9">
        <f t="array" ref="C25">IFERROR(INDEX(Data!A:A, MATCH($B25, Data!$F:$F, 0)), "")</f>
        <v>2161</v>
      </c>
      <c r="D25" s="9">
        <f t="array" ref="D25">IFERROR(INDEX(Data!B:B, MATCH($B25, Data!$F:$F, 0)), "")</f>
        <v>22.68</v>
      </c>
      <c r="E25" s="9">
        <f t="array" ref="E25">IFERROR(INDEX(Data!C:C, MATCH($B25, Data!$F:$F, 0)), "")</f>
        <v>7.51</v>
      </c>
      <c r="F25" s="9">
        <f t="array" ref="F25">IFERROR(INDEX(Data!D:D, MATCH($B25, Data!$F:$F, 0)), "")</f>
        <v>11.49</v>
      </c>
      <c r="G25" s="9">
        <f t="array" ref="G25">IFERROR(INDEX(Data!E:E, MATCH($B25, Data!$F:$F, 0)), "")</f>
        <v>3.68</v>
      </c>
      <c r="H25" s="9" t="str">
        <f t="shared" si="1"/>
        <v>#REF!</v>
      </c>
      <c r="I25" s="9" t="str">
        <f t="shared" si="2"/>
        <v>#REF!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8">
        <v>24.0</v>
      </c>
      <c r="C26" s="9">
        <f t="array" ref="C26">IFERROR(INDEX(Data!A:A, MATCH($B26, Data!$F:$F, 0)), "")</f>
        <v>28</v>
      </c>
      <c r="D26" s="9">
        <f t="array" ref="D26">IFERROR(INDEX(Data!B:B, MATCH($B26, Data!$F:$F, 0)), "")</f>
        <v>25.99</v>
      </c>
      <c r="E26" s="9">
        <f t="array" ref="E26">IFERROR(INDEX(Data!C:C, MATCH($B26, Data!$F:$F, 0)), "")</f>
        <v>8.15</v>
      </c>
      <c r="F26" s="9">
        <f t="array" ref="F26">IFERROR(INDEX(Data!D:D, MATCH($B26, Data!$F:$F, 0)), "")</f>
        <v>12.62</v>
      </c>
      <c r="G26" s="9">
        <f t="array" ref="G26">IFERROR(INDEX(Data!E:E, MATCH($B26, Data!$F:$F, 0)), "")</f>
        <v>5.22</v>
      </c>
      <c r="H26" s="9" t="str">
        <f t="shared" si="1"/>
        <v>#REF!</v>
      </c>
      <c r="I26" s="9" t="str">
        <f t="shared" si="2"/>
        <v>#REF!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8">
        <v>25.0</v>
      </c>
      <c r="C27" s="9">
        <f t="array" ref="C27">IFERROR(INDEX(Data!A:A, MATCH($B27, Data!$F:$F, 0)), "")</f>
        <v>329</v>
      </c>
      <c r="D27" s="9">
        <f t="array" ref="D27">IFERROR(INDEX(Data!B:B, MATCH($B27, Data!$F:$F, 0)), "")</f>
        <v>29.47</v>
      </c>
      <c r="E27" s="9">
        <f t="array" ref="E27">IFERROR(INDEX(Data!C:C, MATCH($B27, Data!$F:$F, 0)), "")</f>
        <v>3.42</v>
      </c>
      <c r="F27" s="9">
        <f t="array" ref="F27">IFERROR(INDEX(Data!D:D, MATCH($B27, Data!$F:$F, 0)), "")</f>
        <v>16.99</v>
      </c>
      <c r="G27" s="9">
        <f t="array" ref="G27">IFERROR(INDEX(Data!E:E, MATCH($B27, Data!$F:$F, 0)), "")</f>
        <v>9.06</v>
      </c>
      <c r="H27" s="9" t="str">
        <f t="shared" si="1"/>
        <v>#REF!</v>
      </c>
      <c r="I27" s="9" t="str">
        <f t="shared" si="2"/>
        <v>#REF!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8">
        <v>26.0</v>
      </c>
      <c r="C28" s="9">
        <f t="array" ref="C28">IFERROR(INDEX(Data!A:A, MATCH($B28, Data!$F:$F, 0)), "")</f>
        <v>10621</v>
      </c>
      <c r="D28" s="9">
        <f t="array" ref="D28">IFERROR(INDEX(Data!B:B, MATCH($B28, Data!$F:$F, 0)), "")</f>
        <v>17.39</v>
      </c>
      <c r="E28" s="9">
        <f t="array" ref="E28">IFERROR(INDEX(Data!C:C, MATCH($B28, Data!$F:$F, 0)), "")</f>
        <v>5.48</v>
      </c>
      <c r="F28" s="9">
        <f t="array" ref="F28">IFERROR(INDEX(Data!D:D, MATCH($B28, Data!$F:$F, 0)), "")</f>
        <v>3.76</v>
      </c>
      <c r="G28" s="9">
        <f t="array" ref="G28">IFERROR(INDEX(Data!E:E, MATCH($B28, Data!$F:$F, 0)), "")</f>
        <v>8.15</v>
      </c>
      <c r="H28" s="9" t="str">
        <f t="shared" si="1"/>
        <v>#REF!</v>
      </c>
      <c r="I28" s="9" t="str">
        <f t="shared" si="2"/>
        <v>#REF!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8">
        <v>27.0</v>
      </c>
      <c r="C29" s="9">
        <f t="array" ref="C29">IFERROR(INDEX(Data!A:A, MATCH($B29, Data!$F:$F, 0)), "")</f>
        <v>11030</v>
      </c>
      <c r="D29" s="9">
        <f t="array" ref="D29">IFERROR(INDEX(Data!B:B, MATCH($B29, Data!$F:$F, 0)), "")</f>
        <v>46.81</v>
      </c>
      <c r="E29" s="9">
        <f t="array" ref="E29">IFERROR(INDEX(Data!C:C, MATCH($B29, Data!$F:$F, 0)), "")</f>
        <v>7.23</v>
      </c>
      <c r="F29" s="9">
        <f t="array" ref="F29">IFERROR(INDEX(Data!D:D, MATCH($B29, Data!$F:$F, 0)), "")</f>
        <v>28.7</v>
      </c>
      <c r="G29" s="9">
        <f t="array" ref="G29">IFERROR(INDEX(Data!E:E, MATCH($B29, Data!$F:$F, 0)), "")</f>
        <v>10.88</v>
      </c>
      <c r="H29" s="9" t="str">
        <f t="shared" si="1"/>
        <v>#REF!</v>
      </c>
      <c r="I29" s="9" t="str">
        <f t="shared" si="2"/>
        <v>#REF!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8">
        <v>28.0</v>
      </c>
      <c r="C30" s="9">
        <f t="array" ref="C30">IFERROR(INDEX(Data!A:A, MATCH($B30, Data!$F:$F, 0)), "")</f>
        <v>527</v>
      </c>
      <c r="D30" s="9">
        <f t="array" ref="D30">IFERROR(INDEX(Data!B:B, MATCH($B30, Data!$F:$F, 0)), "")</f>
        <v>24.56</v>
      </c>
      <c r="E30" s="9">
        <f t="array" ref="E30">IFERROR(INDEX(Data!C:C, MATCH($B30, Data!$F:$F, 0)), "")</f>
        <v>9.14</v>
      </c>
      <c r="F30" s="9">
        <f t="array" ref="F30">IFERROR(INDEX(Data!D:D, MATCH($B30, Data!$F:$F, 0)), "")</f>
        <v>10.64</v>
      </c>
      <c r="G30" s="9">
        <f t="array" ref="G30">IFERROR(INDEX(Data!E:E, MATCH($B30, Data!$F:$F, 0)), "")</f>
        <v>4.78</v>
      </c>
      <c r="H30" s="9" t="str">
        <f t="shared" si="1"/>
        <v>#REF!</v>
      </c>
      <c r="I30" s="9" t="str">
        <f t="shared" si="2"/>
        <v>#REF!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8">
        <v>29.0</v>
      </c>
      <c r="C31" s="9">
        <f t="array" ref="C31">IFERROR(INDEX(Data!A:A, MATCH($B31, Data!$F:$F, 0)), "")</f>
        <v>2875</v>
      </c>
      <c r="D31" s="9">
        <f t="array" ref="D31">IFERROR(INDEX(Data!B:B, MATCH($B31, Data!$F:$F, 0)), "")</f>
        <v>48.38</v>
      </c>
      <c r="E31" s="9">
        <f t="array" ref="E31">IFERROR(INDEX(Data!C:C, MATCH($B31, Data!$F:$F, 0)), "")</f>
        <v>11.41</v>
      </c>
      <c r="F31" s="9">
        <f t="array" ref="F31">IFERROR(INDEX(Data!D:D, MATCH($B31, Data!$F:$F, 0)), "")</f>
        <v>24.35</v>
      </c>
      <c r="G31" s="9">
        <f t="array" ref="G31">IFERROR(INDEX(Data!E:E, MATCH($B31, Data!$F:$F, 0)), "")</f>
        <v>12.61</v>
      </c>
      <c r="H31" s="9" t="str">
        <f t="shared" si="1"/>
        <v>#REF!</v>
      </c>
      <c r="I31" s="9" t="str">
        <f t="shared" si="2"/>
        <v>#REF!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8">
        <v>30.0</v>
      </c>
      <c r="C32" s="9">
        <f t="array" ref="C32">IFERROR(INDEX(Data!A:A, MATCH($B32, Data!$F:$F, 0)), "")</f>
        <v>569</v>
      </c>
      <c r="D32" s="9">
        <f t="array" ref="D32">IFERROR(INDEX(Data!B:B, MATCH($B32, Data!$F:$F, 0)), "")</f>
        <v>9.39</v>
      </c>
      <c r="E32" s="9">
        <f t="array" ref="E32">IFERROR(INDEX(Data!C:C, MATCH($B32, Data!$F:$F, 0)), "")</f>
        <v>8.55</v>
      </c>
      <c r="F32" s="9">
        <f t="array" ref="F32">IFERROR(INDEX(Data!D:D, MATCH($B32, Data!$F:$F, 0)), "")</f>
        <v>0.85</v>
      </c>
      <c r="G32" s="9">
        <f t="array" ref="G32">IFERROR(INDEX(Data!E:E, MATCH($B32, Data!$F:$F, 0)), "")</f>
        <v>-0.01</v>
      </c>
      <c r="H32" s="9" t="str">
        <f t="shared" si="1"/>
        <v>#REF!</v>
      </c>
      <c r="I32" s="9" t="str">
        <f t="shared" si="2"/>
        <v>#REF!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8">
        <v>31.0</v>
      </c>
      <c r="C33" s="9">
        <f t="array" ref="C33">IFERROR(INDEX(Data!A:A, MATCH($B33, Data!$F:$F, 0)), "")</f>
        <v>6806</v>
      </c>
      <c r="D33" s="9">
        <f t="array" ref="D33">IFERROR(INDEX(Data!B:B, MATCH($B33, Data!$F:$F, 0)), "")</f>
        <v>36.75</v>
      </c>
      <c r="E33" s="9">
        <f t="array" ref="E33">IFERROR(INDEX(Data!C:C, MATCH($B33, Data!$F:$F, 0)), "")</f>
        <v>6.63</v>
      </c>
      <c r="F33" s="9">
        <f t="array" ref="F33">IFERROR(INDEX(Data!D:D, MATCH($B33, Data!$F:$F, 0)), "")</f>
        <v>21.63</v>
      </c>
      <c r="G33" s="9">
        <f t="array" ref="G33">IFERROR(INDEX(Data!E:E, MATCH($B33, Data!$F:$F, 0)), "")</f>
        <v>8.5</v>
      </c>
      <c r="H33" s="9" t="str">
        <f t="shared" si="1"/>
        <v>#REF!</v>
      </c>
      <c r="I33" s="9" t="str">
        <f t="shared" si="2"/>
        <v>#REF!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8">
        <v>32.0</v>
      </c>
      <c r="C34" s="9">
        <f t="array" ref="C34">IFERROR(INDEX(Data!A:A, MATCH($B34, Data!$F:$F, 0)), "")</f>
        <v>871</v>
      </c>
      <c r="D34" s="9">
        <f t="array" ref="D34">IFERROR(INDEX(Data!B:B, MATCH($B34, Data!$F:$F, 0)), "")</f>
        <v>38.67</v>
      </c>
      <c r="E34" s="9">
        <f t="array" ref="E34">IFERROR(INDEX(Data!C:C, MATCH($B34, Data!$F:$F, 0)), "")</f>
        <v>13.07</v>
      </c>
      <c r="F34" s="9">
        <f t="array" ref="F34">IFERROR(INDEX(Data!D:D, MATCH($B34, Data!$F:$F, 0)), "")</f>
        <v>18.13</v>
      </c>
      <c r="G34" s="9">
        <f t="array" ref="G34">IFERROR(INDEX(Data!E:E, MATCH($B34, Data!$F:$F, 0)), "")</f>
        <v>7.46</v>
      </c>
      <c r="H34" s="9" t="str">
        <f t="shared" si="1"/>
        <v>#REF!</v>
      </c>
      <c r="I34" s="9" t="str">
        <f t="shared" si="2"/>
        <v>#REF!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8">
        <v>33.0</v>
      </c>
      <c r="C35" s="9">
        <f t="array" ref="C35">IFERROR(INDEX(Data!A:A, MATCH($B35, Data!$F:$F, 0)), "")</f>
        <v>7673</v>
      </c>
      <c r="D35" s="9">
        <f t="array" ref="D35">IFERROR(INDEX(Data!B:B, MATCH($B35, Data!$F:$F, 0)), "")</f>
        <v>18.33</v>
      </c>
      <c r="E35" s="9">
        <f t="array" ref="E35">IFERROR(INDEX(Data!C:C, MATCH($B35, Data!$F:$F, 0)), "")</f>
        <v>4.38</v>
      </c>
      <c r="F35" s="9">
        <f t="array" ref="F35">IFERROR(INDEX(Data!D:D, MATCH($B35, Data!$F:$F, 0)), "")</f>
        <v>6.59</v>
      </c>
      <c r="G35" s="9">
        <f t="array" ref="G35">IFERROR(INDEX(Data!E:E, MATCH($B35, Data!$F:$F, 0)), "")</f>
        <v>7.36</v>
      </c>
      <c r="H35" s="9" t="str">
        <f t="shared" si="1"/>
        <v>#REF!</v>
      </c>
      <c r="I35" s="9" t="str">
        <f t="shared" si="2"/>
        <v>#REF!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8">
        <v>34.0</v>
      </c>
      <c r="C36" s="9">
        <f t="array" ref="C36">IFERROR(INDEX(Data!A:A, MATCH($B36, Data!$F:$F, 0)), "")</f>
        <v>545</v>
      </c>
      <c r="D36" s="9">
        <f t="array" ref="D36">IFERROR(INDEX(Data!B:B, MATCH($B36, Data!$F:$F, 0)), "")</f>
        <v>15.22</v>
      </c>
      <c r="E36" s="9">
        <f t="array" ref="E36">IFERROR(INDEX(Data!C:C, MATCH($B36, Data!$F:$F, 0)), "")</f>
        <v>5.44</v>
      </c>
      <c r="F36" s="9">
        <f t="array" ref="F36">IFERROR(INDEX(Data!D:D, MATCH($B36, Data!$F:$F, 0)), "")</f>
        <v>5.85</v>
      </c>
      <c r="G36" s="9">
        <f t="array" ref="G36">IFERROR(INDEX(Data!E:E, MATCH($B36, Data!$F:$F, 0)), "")</f>
        <v>3.92</v>
      </c>
      <c r="H36" s="9" t="str">
        <f t="shared" si="1"/>
        <v>#REF!</v>
      </c>
      <c r="I36" s="9" t="str">
        <f t="shared" si="2"/>
        <v>#REF!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8">
        <v>35.0</v>
      </c>
      <c r="C37" s="9">
        <f t="array" ref="C37">IFERROR(INDEX(Data!A:A, MATCH($B37, Data!$F:$F, 0)), "")</f>
        <v>9016</v>
      </c>
      <c r="D37" s="9">
        <f t="array" ref="D37">IFERROR(INDEX(Data!B:B, MATCH($B37, Data!$F:$F, 0)), "")</f>
        <v>39.71</v>
      </c>
      <c r="E37" s="9">
        <f t="array" ref="E37">IFERROR(INDEX(Data!C:C, MATCH($B37, Data!$F:$F, 0)), "")</f>
        <v>13.26</v>
      </c>
      <c r="F37" s="9">
        <f t="array" ref="F37">IFERROR(INDEX(Data!D:D, MATCH($B37, Data!$F:$F, 0)), "")</f>
        <v>15.76</v>
      </c>
      <c r="G37" s="9">
        <f t="array" ref="G37">IFERROR(INDEX(Data!E:E, MATCH($B37, Data!$F:$F, 0)), "")</f>
        <v>10.7</v>
      </c>
      <c r="H37" s="9" t="str">
        <f t="shared" si="1"/>
        <v>#REF!</v>
      </c>
      <c r="I37" s="9" t="str">
        <f t="shared" si="2"/>
        <v>#REF!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8">
        <v>36.0</v>
      </c>
      <c r="C38" s="9">
        <f t="array" ref="C38">IFERROR(INDEX(Data!A:A, MATCH($B38, Data!$F:$F, 0)), "")</f>
        <v>2869</v>
      </c>
      <c r="D38" s="9">
        <f t="array" ref="D38">IFERROR(INDEX(Data!B:B, MATCH($B38, Data!$F:$F, 0)), "")</f>
        <v>41.7</v>
      </c>
      <c r="E38" s="9">
        <f t="array" ref="E38">IFERROR(INDEX(Data!C:C, MATCH($B38, Data!$F:$F, 0)), "")</f>
        <v>10.96</v>
      </c>
      <c r="F38" s="9">
        <f t="array" ref="F38">IFERROR(INDEX(Data!D:D, MATCH($B38, Data!$F:$F, 0)), "")</f>
        <v>25.49</v>
      </c>
      <c r="G38" s="9">
        <f t="array" ref="G38">IFERROR(INDEX(Data!E:E, MATCH($B38, Data!$F:$F, 0)), "")</f>
        <v>5.24</v>
      </c>
      <c r="H38" s="9" t="str">
        <f t="shared" si="1"/>
        <v>#REF!</v>
      </c>
      <c r="I38" s="9" t="str">
        <f t="shared" si="2"/>
        <v>#REF!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8">
        <v>37.0</v>
      </c>
      <c r="C39" s="9">
        <f t="array" ref="C39">IFERROR(INDEX(Data!A:A, MATCH($B39, Data!$F:$F, 0)), "")</f>
        <v>884</v>
      </c>
      <c r="D39" s="9">
        <f t="array" ref="D39">IFERROR(INDEX(Data!B:B, MATCH($B39, Data!$F:$F, 0)), "")</f>
        <v>15.99</v>
      </c>
      <c r="E39" s="9">
        <f t="array" ref="E39">IFERROR(INDEX(Data!C:C, MATCH($B39, Data!$F:$F, 0)), "")</f>
        <v>2.93</v>
      </c>
      <c r="F39" s="9">
        <f t="array" ref="F39">IFERROR(INDEX(Data!D:D, MATCH($B39, Data!$F:$F, 0)), "")</f>
        <v>4.72</v>
      </c>
      <c r="G39" s="9">
        <f t="array" ref="G39">IFERROR(INDEX(Data!E:E, MATCH($B39, Data!$F:$F, 0)), "")</f>
        <v>8.34</v>
      </c>
      <c r="H39" s="9" t="str">
        <f t="shared" si="1"/>
        <v>#REF!</v>
      </c>
      <c r="I39" s="9" t="str">
        <f t="shared" si="2"/>
        <v>#REF!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8">
        <v>38.0</v>
      </c>
      <c r="C40" s="9">
        <f t="array" ref="C40">IFERROR(INDEX(Data!A:A, MATCH($B40, Data!$F:$F, 0)), "")</f>
        <v>564</v>
      </c>
      <c r="D40" s="9">
        <f t="array" ref="D40">IFERROR(INDEX(Data!B:B, MATCH($B40, Data!$F:$F, 0)), "")</f>
        <v>22.11</v>
      </c>
      <c r="E40" s="9">
        <f t="array" ref="E40">IFERROR(INDEX(Data!C:C, MATCH($B40, Data!$F:$F, 0)), "")</f>
        <v>6.22</v>
      </c>
      <c r="F40" s="9">
        <f t="array" ref="F40">IFERROR(INDEX(Data!D:D, MATCH($B40, Data!$F:$F, 0)), "")</f>
        <v>9.93</v>
      </c>
      <c r="G40" s="9">
        <f t="array" ref="G40">IFERROR(INDEX(Data!E:E, MATCH($B40, Data!$F:$F, 0)), "")</f>
        <v>5.97</v>
      </c>
      <c r="H40" s="9" t="str">
        <f t="shared" si="1"/>
        <v>#REF!</v>
      </c>
      <c r="I40" s="9" t="str">
        <f t="shared" si="2"/>
        <v>#REF!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8">
        <v>39.0</v>
      </c>
      <c r="C41" s="9">
        <f t="array" ref="C41">IFERROR(INDEX(Data!A:A, MATCH($B41, Data!$F:$F, 0)), "")</f>
        <v>514</v>
      </c>
      <c r="D41" s="9">
        <f t="array" ref="D41">IFERROR(INDEX(Data!B:B, MATCH($B41, Data!$F:$F, 0)), "")</f>
        <v>9.13</v>
      </c>
      <c r="E41" s="9">
        <f t="array" ref="E41">IFERROR(INDEX(Data!C:C, MATCH($B41, Data!$F:$F, 0)), "")</f>
        <v>9.17</v>
      </c>
      <c r="F41" s="9">
        <f t="array" ref="F41">IFERROR(INDEX(Data!D:D, MATCH($B41, Data!$F:$F, 0)), "")</f>
        <v>0.81</v>
      </c>
      <c r="G41" s="9">
        <f t="array" ref="G41">IFERROR(INDEX(Data!E:E, MATCH($B41, Data!$F:$F, 0)), "")</f>
        <v>-0.85</v>
      </c>
      <c r="H41" s="9" t="str">
        <f t="shared" si="1"/>
        <v>#REF!</v>
      </c>
      <c r="I41" s="9" t="str">
        <f t="shared" si="2"/>
        <v>#REF!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8">
        <v>40.0</v>
      </c>
      <c r="C42" s="9">
        <f t="array" ref="C42">IFERROR(INDEX(Data!A:A, MATCH($B42, Data!$F:$F, 0)), "")</f>
        <v>806</v>
      </c>
      <c r="D42" s="9">
        <f t="array" ref="D42">IFERROR(INDEX(Data!B:B, MATCH($B42, Data!$F:$F, 0)), "")</f>
        <v>8.61</v>
      </c>
      <c r="E42" s="9">
        <f t="array" ref="E42">IFERROR(INDEX(Data!C:C, MATCH($B42, Data!$F:$F, 0)), "")</f>
        <v>4.13</v>
      </c>
      <c r="F42" s="9">
        <f t="array" ref="F42">IFERROR(INDEX(Data!D:D, MATCH($B42, Data!$F:$F, 0)), "")</f>
        <v>3.71</v>
      </c>
      <c r="G42" s="9">
        <f t="array" ref="G42">IFERROR(INDEX(Data!E:E, MATCH($B42, Data!$F:$F, 0)), "")</f>
        <v>0.77</v>
      </c>
      <c r="H42" s="9" t="str">
        <f t="shared" si="1"/>
        <v>#REF!</v>
      </c>
      <c r="I42" s="9" t="str">
        <f t="shared" si="2"/>
        <v>#REF!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8">
        <v>41.0</v>
      </c>
      <c r="C43" s="9">
        <f t="array" ref="C43">IFERROR(INDEX(Data!A:A, MATCH($B43, Data!$F:$F, 0)), "")</f>
        <v>2027</v>
      </c>
      <c r="D43" s="9">
        <f t="array" ref="D43">IFERROR(INDEX(Data!B:B, MATCH($B43, Data!$F:$F, 0)), "")</f>
        <v>20.95</v>
      </c>
      <c r="E43" s="9">
        <f t="array" ref="E43">IFERROR(INDEX(Data!C:C, MATCH($B43, Data!$F:$F, 0)), "")</f>
        <v>7.32</v>
      </c>
      <c r="F43" s="9">
        <f t="array" ref="F43">IFERROR(INDEX(Data!D:D, MATCH($B43, Data!$F:$F, 0)), "")</f>
        <v>9.36</v>
      </c>
      <c r="G43" s="9">
        <f t="array" ref="G43">IFERROR(INDEX(Data!E:E, MATCH($B43, Data!$F:$F, 0)), "")</f>
        <v>4.27</v>
      </c>
      <c r="H43" s="9" t="str">
        <f t="shared" si="1"/>
        <v>#REF!</v>
      </c>
      <c r="I43" s="9" t="str">
        <f t="shared" si="2"/>
        <v>#REF!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8">
        <v>42.0</v>
      </c>
      <c r="C44" s="9">
        <f t="array" ref="C44">IFERROR(INDEX(Data!A:A, MATCH($B44, Data!$F:$F, 0)), "")</f>
        <v>3137</v>
      </c>
      <c r="D44" s="9">
        <f t="array" ref="D44">IFERROR(INDEX(Data!B:B, MATCH($B44, Data!$F:$F, 0)), "")</f>
        <v>23.54</v>
      </c>
      <c r="E44" s="9">
        <f t="array" ref="E44">IFERROR(INDEX(Data!C:C, MATCH($B44, Data!$F:$F, 0)), "")</f>
        <v>9.55</v>
      </c>
      <c r="F44" s="9">
        <f t="array" ref="F44">IFERROR(INDEX(Data!D:D, MATCH($B44, Data!$F:$F, 0)), "")</f>
        <v>6.95</v>
      </c>
      <c r="G44" s="9">
        <f t="array" ref="G44">IFERROR(INDEX(Data!E:E, MATCH($B44, Data!$F:$F, 0)), "")</f>
        <v>7.05</v>
      </c>
      <c r="H44" s="9" t="str">
        <f t="shared" si="1"/>
        <v>#REF!</v>
      </c>
      <c r="I44" s="9" t="str">
        <f t="shared" si="2"/>
        <v>#REF!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8">
        <v>43.0</v>
      </c>
      <c r="C45" s="9">
        <f t="array" ref="C45">IFERROR(INDEX(Data!A:A, MATCH($B45, Data!$F:$F, 0)), "")</f>
        <v>4567</v>
      </c>
      <c r="D45" s="9">
        <f t="array" ref="D45">IFERROR(INDEX(Data!B:B, MATCH($B45, Data!$F:$F, 0)), "")</f>
        <v>11.72</v>
      </c>
      <c r="E45" s="9">
        <f t="array" ref="E45">IFERROR(INDEX(Data!C:C, MATCH($B45, Data!$F:$F, 0)), "")</f>
        <v>4.35</v>
      </c>
      <c r="F45" s="9">
        <f t="array" ref="F45">IFERROR(INDEX(Data!D:D, MATCH($B45, Data!$F:$F, 0)), "")</f>
        <v>5.12</v>
      </c>
      <c r="G45" s="9">
        <f t="array" ref="G45">IFERROR(INDEX(Data!E:E, MATCH($B45, Data!$F:$F, 0)), "")</f>
        <v>2.25</v>
      </c>
      <c r="H45" s="9" t="str">
        <f t="shared" si="1"/>
        <v>#REF!</v>
      </c>
      <c r="I45" s="9" t="str">
        <f t="shared" si="2"/>
        <v>#REF!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8">
        <v>44.0</v>
      </c>
      <c r="C46" s="9">
        <f t="array" ref="C46">IFERROR(INDEX(Data!A:A, MATCH($B46, Data!$F:$F, 0)), "")</f>
        <v>3624</v>
      </c>
      <c r="D46" s="9">
        <f t="array" ref="D46">IFERROR(INDEX(Data!B:B, MATCH($B46, Data!$F:$F, 0)), "")</f>
        <v>24.96</v>
      </c>
      <c r="E46" s="9">
        <f t="array" ref="E46">IFERROR(INDEX(Data!C:C, MATCH($B46, Data!$F:$F, 0)), "")</f>
        <v>6.29</v>
      </c>
      <c r="F46" s="9">
        <f t="array" ref="F46">IFERROR(INDEX(Data!D:D, MATCH($B46, Data!$F:$F, 0)), "")</f>
        <v>15.46</v>
      </c>
      <c r="G46" s="9">
        <f t="array" ref="G46">IFERROR(INDEX(Data!E:E, MATCH($B46, Data!$F:$F, 0)), "")</f>
        <v>3.21</v>
      </c>
      <c r="H46" s="9" t="str">
        <f t="shared" si="1"/>
        <v>#REF!</v>
      </c>
      <c r="I46" s="9" t="str">
        <f t="shared" si="2"/>
        <v>#REF!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8">
        <v>45.0</v>
      </c>
      <c r="C47" s="9">
        <f t="array" ref="C47">IFERROR(INDEX(Data!A:A, MATCH($B47, Data!$F:$F, 0)), "")</f>
        <v>2487</v>
      </c>
      <c r="D47" s="9">
        <f t="array" ref="D47">IFERROR(INDEX(Data!B:B, MATCH($B47, Data!$F:$F, 0)), "")</f>
        <v>11.38</v>
      </c>
      <c r="E47" s="9">
        <f t="array" ref="E47">IFERROR(INDEX(Data!C:C, MATCH($B47, Data!$F:$F, 0)), "")</f>
        <v>1.99</v>
      </c>
      <c r="F47" s="9">
        <f t="array" ref="F47">IFERROR(INDEX(Data!D:D, MATCH($B47, Data!$F:$F, 0)), "")</f>
        <v>4.77</v>
      </c>
      <c r="G47" s="9">
        <f t="array" ref="G47">IFERROR(INDEX(Data!E:E, MATCH($B47, Data!$F:$F, 0)), "")</f>
        <v>4.62</v>
      </c>
      <c r="H47" s="9" t="str">
        <f t="shared" si="1"/>
        <v>#REF!</v>
      </c>
      <c r="I47" s="9" t="str">
        <f t="shared" si="2"/>
        <v>#REF!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8">
        <v>46.0</v>
      </c>
      <c r="C48" s="9">
        <f t="array" ref="C48">IFERROR(INDEX(Data!A:A, MATCH($B48, Data!$F:$F, 0)), "")</f>
        <v>5016</v>
      </c>
      <c r="D48" s="9">
        <f t="array" ref="D48">IFERROR(INDEX(Data!B:B, MATCH($B48, Data!$F:$F, 0)), "")</f>
        <v>37.67</v>
      </c>
      <c r="E48" s="9">
        <f t="array" ref="E48">IFERROR(INDEX(Data!C:C, MATCH($B48, Data!$F:$F, 0)), "")</f>
        <v>5.71</v>
      </c>
      <c r="F48" s="9">
        <f t="array" ref="F48">IFERROR(INDEX(Data!D:D, MATCH($B48, Data!$F:$F, 0)), "")</f>
        <v>20.44</v>
      </c>
      <c r="G48" s="9">
        <f t="array" ref="G48">IFERROR(INDEX(Data!E:E, MATCH($B48, Data!$F:$F, 0)), "")</f>
        <v>11.52</v>
      </c>
      <c r="H48" s="9" t="str">
        <f t="shared" si="1"/>
        <v>#REF!</v>
      </c>
      <c r="I48" s="9" t="str">
        <f t="shared" si="2"/>
        <v>#REF!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8">
        <v>47.0</v>
      </c>
      <c r="C49" s="9">
        <f t="array" ref="C49">IFERROR(INDEX(Data!A:A, MATCH($B49, Data!$F:$F, 0)), "")</f>
        <v>601</v>
      </c>
      <c r="D49" s="9">
        <f t="array" ref="D49">IFERROR(INDEX(Data!B:B, MATCH($B49, Data!$F:$F, 0)), "")</f>
        <v>5.46</v>
      </c>
      <c r="E49" s="9">
        <f t="array" ref="E49">IFERROR(INDEX(Data!C:C, MATCH($B49, Data!$F:$F, 0)), "")</f>
        <v>2.65</v>
      </c>
      <c r="F49" s="9">
        <f t="array" ref="F49">IFERROR(INDEX(Data!D:D, MATCH($B49, Data!$F:$F, 0)), "")</f>
        <v>-0.19</v>
      </c>
      <c r="G49" s="9">
        <f t="array" ref="G49">IFERROR(INDEX(Data!E:E, MATCH($B49, Data!$F:$F, 0)), "")</f>
        <v>3</v>
      </c>
      <c r="H49" s="9" t="str">
        <f t="shared" si="1"/>
        <v>#REF!</v>
      </c>
      <c r="I49" s="9" t="str">
        <f t="shared" si="2"/>
        <v>#REF!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8">
        <v>48.0</v>
      </c>
      <c r="C50" s="9">
        <f t="array" ref="C50">IFERROR(INDEX(Data!A:A, MATCH($B50, Data!$F:$F, 0)), "")</f>
        <v>3171</v>
      </c>
      <c r="D50" s="9">
        <f t="array" ref="D50">IFERROR(INDEX(Data!B:B, MATCH($B50, Data!$F:$F, 0)), "")</f>
        <v>23.49</v>
      </c>
      <c r="E50" s="9">
        <f t="array" ref="E50">IFERROR(INDEX(Data!C:C, MATCH($B50, Data!$F:$F, 0)), "")</f>
        <v>5.7</v>
      </c>
      <c r="F50" s="9">
        <f t="array" ref="F50">IFERROR(INDEX(Data!D:D, MATCH($B50, Data!$F:$F, 0)), "")</f>
        <v>6.86</v>
      </c>
      <c r="G50" s="9">
        <f t="array" ref="G50">IFERROR(INDEX(Data!E:E, MATCH($B50, Data!$F:$F, 0)), "")</f>
        <v>10.92</v>
      </c>
      <c r="H50" s="9" t="str">
        <f t="shared" si="1"/>
        <v>#REF!</v>
      </c>
      <c r="I50" s="9" t="str">
        <f t="shared" si="2"/>
        <v>#REF!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8">
        <v>49.0</v>
      </c>
      <c r="C51" s="9" t="str">
        <f t="array" ref="C51">IFERROR(INDEX(Data!A:A, MATCH($B51, Data!$F:$F, 0)), "")</f>
        <v/>
      </c>
      <c r="D51" s="9" t="str">
        <f t="array" ref="D51">IFERROR(INDEX(Data!B:B, MATCH($B51, Data!$F:$F, 0)), "")</f>
        <v/>
      </c>
      <c r="E51" s="9" t="str">
        <f t="array" ref="E51">IFERROR(INDEX(Data!C:C, MATCH($B51, Data!$F:$F, 0)), "")</f>
        <v/>
      </c>
      <c r="F51" s="9" t="str">
        <f t="array" ref="F51">IFERROR(INDEX(Data!D:D, MATCH($B51, Data!$F:$F, 0)), "")</f>
        <v/>
      </c>
      <c r="G51" s="9" t="str">
        <f t="array" ref="G51">IFERROR(INDEX(Data!E:E, MATCH($B51, Data!$F:$F, 0)), "")</f>
        <v/>
      </c>
      <c r="H51" s="9" t="str">
        <f t="shared" si="1"/>
        <v/>
      </c>
      <c r="I51" s="9" t="str">
        <f t="shared" si="2"/>
        <v/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8">
        <v>50.0</v>
      </c>
      <c r="C52" s="9" t="str">
        <f t="array" ref="C52">IFERROR(INDEX(Data!A:A, MATCH($B52, Data!$F:$F, 0)), "")</f>
        <v/>
      </c>
      <c r="D52" s="9" t="str">
        <f t="array" ref="D52">IFERROR(INDEX(Data!B:B, MATCH($B52, Data!$F:$F, 0)), "")</f>
        <v/>
      </c>
      <c r="E52" s="9" t="str">
        <f t="array" ref="E52">IFERROR(INDEX(Data!C:C, MATCH($B52, Data!$F:$F, 0)), "")</f>
        <v/>
      </c>
      <c r="F52" s="9" t="str">
        <f t="array" ref="F52">IFERROR(INDEX(Data!D:D, MATCH($B52, Data!$F:$F, 0)), "")</f>
        <v/>
      </c>
      <c r="G52" s="9" t="str">
        <f t="array" ref="G52">IFERROR(INDEX(Data!E:E, MATCH($B52, Data!$F:$F, 0)), "")</f>
        <v/>
      </c>
      <c r="H52" s="9" t="str">
        <f t="shared" si="1"/>
        <v/>
      </c>
      <c r="I52" s="9" t="str">
        <f t="shared" si="2"/>
        <v/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8">
        <v>51.0</v>
      </c>
      <c r="C53" s="9" t="str">
        <f t="array" ref="C53">IFERROR(INDEX(Data!A:A, MATCH($B53, Data!$F:$F, 0)), "")</f>
        <v/>
      </c>
      <c r="D53" s="9" t="str">
        <f t="array" ref="D53">IFERROR(INDEX(Data!B:B, MATCH($B53, Data!$F:$F, 0)), "")</f>
        <v/>
      </c>
      <c r="E53" s="9" t="str">
        <f t="array" ref="E53">IFERROR(INDEX(Data!C:C, MATCH($B53, Data!$F:$F, 0)), "")</f>
        <v/>
      </c>
      <c r="F53" s="9" t="str">
        <f t="array" ref="F53">IFERROR(INDEX(Data!D:D, MATCH($B53, Data!$F:$F, 0)), "")</f>
        <v/>
      </c>
      <c r="G53" s="9" t="str">
        <f t="array" ref="G53">IFERROR(INDEX(Data!E:E, MATCH($B53, Data!$F:$F, 0)), "")</f>
        <v/>
      </c>
      <c r="H53" s="9" t="str">
        <f t="shared" si="1"/>
        <v/>
      </c>
      <c r="I53" s="9" t="str">
        <f t="shared" si="2"/>
        <v/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8">
        <v>52.0</v>
      </c>
      <c r="C54" s="9" t="str">
        <f t="array" ref="C54">IFERROR(INDEX(Data!A:A, MATCH($B54, Data!$F:$F, 0)), "")</f>
        <v/>
      </c>
      <c r="D54" s="9" t="str">
        <f t="array" ref="D54">IFERROR(INDEX(Data!B:B, MATCH($B54, Data!$F:$F, 0)), "")</f>
        <v/>
      </c>
      <c r="E54" s="9" t="str">
        <f t="array" ref="E54">IFERROR(INDEX(Data!C:C, MATCH($B54, Data!$F:$F, 0)), "")</f>
        <v/>
      </c>
      <c r="F54" s="9" t="str">
        <f t="array" ref="F54">IFERROR(INDEX(Data!D:D, MATCH($B54, Data!$F:$F, 0)), "")</f>
        <v/>
      </c>
      <c r="G54" s="9" t="str">
        <f t="array" ref="G54">IFERROR(INDEX(Data!E:E, MATCH($B54, Data!$F:$F, 0)), "")</f>
        <v/>
      </c>
      <c r="H54" s="9" t="str">
        <f t="shared" si="1"/>
        <v/>
      </c>
      <c r="I54" s="9" t="str">
        <f t="shared" si="2"/>
        <v/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8">
        <v>53.0</v>
      </c>
      <c r="C55" s="9" t="str">
        <f t="array" ref="C55">IFERROR(INDEX(Data!A:A, MATCH($B55, Data!$F:$F, 0)), "")</f>
        <v/>
      </c>
      <c r="D55" s="9" t="str">
        <f t="array" ref="D55">IFERROR(INDEX(Data!B:B, MATCH($B55, Data!$F:$F, 0)), "")</f>
        <v/>
      </c>
      <c r="E55" s="9" t="str">
        <f t="array" ref="E55">IFERROR(INDEX(Data!C:C, MATCH($B55, Data!$F:$F, 0)), "")</f>
        <v/>
      </c>
      <c r="F55" s="9" t="str">
        <f t="array" ref="F55">IFERROR(INDEX(Data!D:D, MATCH($B55, Data!$F:$F, 0)), "")</f>
        <v/>
      </c>
      <c r="G55" s="9" t="str">
        <f t="array" ref="G55">IFERROR(INDEX(Data!E:E, MATCH($B55, Data!$F:$F, 0)), "")</f>
        <v/>
      </c>
      <c r="H55" s="9" t="str">
        <f t="shared" si="1"/>
        <v/>
      </c>
      <c r="I55" s="9" t="str">
        <f t="shared" si="2"/>
        <v/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8">
        <v>54.0</v>
      </c>
      <c r="C56" s="9" t="str">
        <f t="array" ref="C56">IFERROR(INDEX(Data!A:A, MATCH($B56, Data!$F:$F, 0)), "")</f>
        <v/>
      </c>
      <c r="D56" s="9" t="str">
        <f t="array" ref="D56">IFERROR(INDEX(Data!B:B, MATCH($B56, Data!$F:$F, 0)), "")</f>
        <v/>
      </c>
      <c r="E56" s="9" t="str">
        <f t="array" ref="E56">IFERROR(INDEX(Data!C:C, MATCH($B56, Data!$F:$F, 0)), "")</f>
        <v/>
      </c>
      <c r="F56" s="9" t="str">
        <f t="array" ref="F56">IFERROR(INDEX(Data!D:D, MATCH($B56, Data!$F:$F, 0)), "")</f>
        <v/>
      </c>
      <c r="G56" s="9" t="str">
        <f t="array" ref="G56">IFERROR(INDEX(Data!E:E, MATCH($B56, Data!$F:$F, 0)), "")</f>
        <v/>
      </c>
      <c r="H56" s="9" t="str">
        <f t="shared" si="1"/>
        <v/>
      </c>
      <c r="I56" s="9" t="str">
        <f t="shared" si="2"/>
        <v/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8">
        <v>55.0</v>
      </c>
      <c r="C57" s="9" t="str">
        <f t="array" ref="C57">IFERROR(INDEX(Data!A:A, MATCH($B57, Data!$F:$F, 0)), "")</f>
        <v/>
      </c>
      <c r="D57" s="9" t="str">
        <f t="array" ref="D57">IFERROR(INDEX(Data!B:B, MATCH($B57, Data!$F:$F, 0)), "")</f>
        <v/>
      </c>
      <c r="E57" s="9" t="str">
        <f t="array" ref="E57">IFERROR(INDEX(Data!C:C, MATCH($B57, Data!$F:$F, 0)), "")</f>
        <v/>
      </c>
      <c r="F57" s="9" t="str">
        <f t="array" ref="F57">IFERROR(INDEX(Data!D:D, MATCH($B57, Data!$F:$F, 0)), "")</f>
        <v/>
      </c>
      <c r="G57" s="9" t="str">
        <f t="array" ref="G57">IFERROR(INDEX(Data!E:E, MATCH($B57, Data!$F:$F, 0)), "")</f>
        <v/>
      </c>
      <c r="H57" s="9" t="str">
        <f t="shared" si="1"/>
        <v/>
      </c>
      <c r="I57" s="9" t="str">
        <f t="shared" si="2"/>
        <v/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8">
        <v>56.0</v>
      </c>
      <c r="C58" s="9" t="str">
        <f t="array" ref="C58">IFERROR(INDEX(Data!A:A, MATCH($B58, Data!$F:$F, 0)), "")</f>
        <v/>
      </c>
      <c r="D58" s="9" t="str">
        <f t="array" ref="D58">IFERROR(INDEX(Data!B:B, MATCH($B58, Data!$F:$F, 0)), "")</f>
        <v/>
      </c>
      <c r="E58" s="9" t="str">
        <f t="array" ref="E58">IFERROR(INDEX(Data!C:C, MATCH($B58, Data!$F:$F, 0)), "")</f>
        <v/>
      </c>
      <c r="F58" s="9" t="str">
        <f t="array" ref="F58">IFERROR(INDEX(Data!D:D, MATCH($B58, Data!$F:$F, 0)), "")</f>
        <v/>
      </c>
      <c r="G58" s="9" t="str">
        <f t="array" ref="G58">IFERROR(INDEX(Data!E:E, MATCH($B58, Data!$F:$F, 0)), "")</f>
        <v/>
      </c>
      <c r="H58" s="9" t="str">
        <f t="shared" si="1"/>
        <v/>
      </c>
      <c r="I58" s="9" t="str">
        <f t="shared" si="2"/>
        <v/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8">
        <v>57.0</v>
      </c>
      <c r="C59" s="9" t="str">
        <f t="array" ref="C59">IFERROR(INDEX(Data!A:A, MATCH($B59, Data!$F:$F, 0)), "")</f>
        <v/>
      </c>
      <c r="D59" s="9" t="str">
        <f t="array" ref="D59">IFERROR(INDEX(Data!B:B, MATCH($B59, Data!$F:$F, 0)), "")</f>
        <v/>
      </c>
      <c r="E59" s="9" t="str">
        <f t="array" ref="E59">IFERROR(INDEX(Data!C:C, MATCH($B59, Data!$F:$F, 0)), "")</f>
        <v/>
      </c>
      <c r="F59" s="9" t="str">
        <f t="array" ref="F59">IFERROR(INDEX(Data!D:D, MATCH($B59, Data!$F:$F, 0)), "")</f>
        <v/>
      </c>
      <c r="G59" s="9" t="str">
        <f t="array" ref="G59">IFERROR(INDEX(Data!E:E, MATCH($B59, Data!$F:$F, 0)), "")</f>
        <v/>
      </c>
      <c r="H59" s="9" t="str">
        <f t="shared" si="1"/>
        <v/>
      </c>
      <c r="I59" s="9" t="str">
        <f t="shared" si="2"/>
        <v/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8">
        <v>58.0</v>
      </c>
      <c r="C60" s="9" t="str">
        <f t="array" ref="C60">IFERROR(INDEX(Data!A:A, MATCH($B60, Data!$F:$F, 0)), "")</f>
        <v/>
      </c>
      <c r="D60" s="9" t="str">
        <f t="array" ref="D60">IFERROR(INDEX(Data!B:B, MATCH($B60, Data!$F:$F, 0)), "")</f>
        <v/>
      </c>
      <c r="E60" s="9" t="str">
        <f t="array" ref="E60">IFERROR(INDEX(Data!C:C, MATCH($B60, Data!$F:$F, 0)), "")</f>
        <v/>
      </c>
      <c r="F60" s="9" t="str">
        <f t="array" ref="F60">IFERROR(INDEX(Data!D:D, MATCH($B60, Data!$F:$F, 0)), "")</f>
        <v/>
      </c>
      <c r="G60" s="9" t="str">
        <f t="array" ref="G60">IFERROR(INDEX(Data!E:E, MATCH($B60, Data!$F:$F, 0)), "")</f>
        <v/>
      </c>
      <c r="H60" s="9" t="str">
        <f t="shared" si="1"/>
        <v/>
      </c>
      <c r="I60" s="9" t="str">
        <f t="shared" si="2"/>
        <v/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8">
        <v>59.0</v>
      </c>
      <c r="C61" s="9" t="str">
        <f t="array" ref="C61">IFERROR(INDEX(Data!A:A, MATCH($B61, Data!$F:$F, 0)), "")</f>
        <v/>
      </c>
      <c r="D61" s="9" t="str">
        <f t="array" ref="D61">IFERROR(INDEX(Data!B:B, MATCH($B61, Data!$F:$F, 0)), "")</f>
        <v/>
      </c>
      <c r="E61" s="9" t="str">
        <f t="array" ref="E61">IFERROR(INDEX(Data!C:C, MATCH($B61, Data!$F:$F, 0)), "")</f>
        <v/>
      </c>
      <c r="F61" s="9" t="str">
        <f t="array" ref="F61">IFERROR(INDEX(Data!D:D, MATCH($B61, Data!$F:$F, 0)), "")</f>
        <v/>
      </c>
      <c r="G61" s="9" t="str">
        <f t="array" ref="G61">IFERROR(INDEX(Data!E:E, MATCH($B61, Data!$F:$F, 0)), "")</f>
        <v/>
      </c>
      <c r="H61" s="9" t="str">
        <f t="shared" si="1"/>
        <v/>
      </c>
      <c r="I61" s="9" t="str">
        <f t="shared" si="2"/>
        <v/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8">
        <v>60.0</v>
      </c>
      <c r="C62" s="9" t="str">
        <f t="array" ref="C62">IFERROR(INDEX(Data!A:A, MATCH($B62, Data!$F:$F, 0)), "")</f>
        <v/>
      </c>
      <c r="D62" s="9" t="str">
        <f t="array" ref="D62">IFERROR(INDEX(Data!F:F, MATCH($B62, Data!$M:$M, 0)), "")</f>
        <v/>
      </c>
      <c r="E62" s="9" t="str">
        <f t="array" ref="E62">IFERROR(INDEX(Data!G:G, MATCH($B62, Data!$M:$M, 0)), "")</f>
        <v/>
      </c>
      <c r="F62" s="9" t="str">
        <f t="array" ref="F62">IFERROR(INDEX(Data!H:H, MATCH($B62, Data!$M:$M, 0)), "")</f>
        <v/>
      </c>
      <c r="G62" s="9" t="str">
        <f t="array" ref="G62">IFERROR(INDEX(Data!I:I, MATCH($B62, Data!$M:$M, 0)), "")</f>
        <v/>
      </c>
      <c r="H62" s="9" t="str">
        <f t="shared" si="1"/>
        <v/>
      </c>
      <c r="I62" s="9" t="str">
        <f t="shared" si="2"/>
        <v/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7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7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7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7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7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7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7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7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7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7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7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7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7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7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7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7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7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7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7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7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7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7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7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7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7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7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7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7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7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7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7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7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7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7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7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7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7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7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7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7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7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7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7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7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7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7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7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7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7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7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7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7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7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7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7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7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7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7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7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7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7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7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7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7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7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7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7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7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7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7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7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7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7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7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7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7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7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7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7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7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7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7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7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7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7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7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7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7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7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7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7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7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7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7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7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7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7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7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7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7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7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7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7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7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7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7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7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7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7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7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7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7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7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7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7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7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7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7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7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7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7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7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7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7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7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7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7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7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7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7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7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7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7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7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7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7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7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7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7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7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7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7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7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7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7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7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7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7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7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7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7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7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7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7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7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7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7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7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7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7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7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7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7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7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7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7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7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7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7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7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7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7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7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7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7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7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7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7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7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7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7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7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7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7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7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7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7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7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7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7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7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7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7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7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7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7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7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7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7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7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7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7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7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7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7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7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7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7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7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7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7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7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7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7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7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7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7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7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7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7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7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7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7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7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7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7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7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7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7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7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7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7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7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7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7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7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7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7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7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7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7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7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7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7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7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7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7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7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7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7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7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7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7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7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7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7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7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7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7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7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7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7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7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7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7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7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7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7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7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7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7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7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7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7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7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7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7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7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7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7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7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7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7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7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7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7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7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7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7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7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7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7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7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7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7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7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7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7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7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7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7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7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7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7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7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7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7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7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7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7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7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7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7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7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7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7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7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7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7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7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7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7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7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7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7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7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7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7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7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7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7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7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7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7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7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7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7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7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7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7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7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7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7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7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7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7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7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7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7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7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7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7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7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7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7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7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7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7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7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7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7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7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7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7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7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7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7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7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7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7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7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7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7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7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7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7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7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7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7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7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7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7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7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7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7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7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7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7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7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7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7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7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7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7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7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7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7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7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7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7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7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7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7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7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7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7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7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7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7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7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7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7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7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7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7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7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7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7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7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7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7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7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7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7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7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7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7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7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7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7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7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7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7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7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7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7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7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7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7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7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7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7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7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7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7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7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7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7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7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7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7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7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7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7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7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7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7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7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7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7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7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7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7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7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7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7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7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7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7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7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7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7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7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7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7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7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7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7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7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7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7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7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7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7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7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7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7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7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7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7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7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7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7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7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7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7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7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7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7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7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7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7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7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7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7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7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7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7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7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7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7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7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7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7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7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7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7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7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7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7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7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7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7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7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7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7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7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7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7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7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7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7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7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7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7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7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7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7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7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7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7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7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7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7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7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7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7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7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7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7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7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7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7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7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7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7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7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7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7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7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7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7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7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7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7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7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7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7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7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7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7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7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7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7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7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7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7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7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7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7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7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7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7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7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7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7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7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7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7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7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7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7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7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7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7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7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7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7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7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7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7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7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7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7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7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7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7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7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7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7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7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7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7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7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7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7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7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7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7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7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7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7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7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7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7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7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7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7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7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7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7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7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7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7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7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7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7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7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7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7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7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7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7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7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7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7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7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7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7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7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7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7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7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7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7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7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7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7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7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7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7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7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7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7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7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7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7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7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7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7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7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7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7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7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7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7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7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7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7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7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7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7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7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7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7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7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7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7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7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7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7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7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7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7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7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7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7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7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7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7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7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7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7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7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7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7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7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7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7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7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7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7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7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7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7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7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7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7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7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7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7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7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7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7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7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7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7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7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7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7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7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7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7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7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7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7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7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7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7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7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7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7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7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7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7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7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7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7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7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7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7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7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7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7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7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7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7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7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7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7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7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7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7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7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7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7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7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7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7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7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7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7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7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7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7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7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7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7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7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7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7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7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7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7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7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7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7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7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7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7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7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7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7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7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7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7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7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7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7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7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7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7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7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7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7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7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7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7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7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7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7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7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7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1.88"/>
    <col customWidth="1" min="9" max="9" width="21.25"/>
  </cols>
  <sheetData>
    <row r="1" ht="7.5" customHeight="1">
      <c r="A1" s="6"/>
      <c r="B1" s="10"/>
      <c r="C1" s="7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6"/>
      <c r="B2" s="11" t="s">
        <v>16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8" t="s">
        <v>15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2">
        <v>1.0</v>
      </c>
      <c r="B3" s="13">
        <v>1.0</v>
      </c>
      <c r="C3" s="9">
        <f t="array" ref="C3">IFERROR(INDEX(Data!F:F, MATCH($E3, Data!$B:$B, 0)), "")</f>
        <v>1</v>
      </c>
      <c r="D3" s="9">
        <f t="array" ref="D3">IFERROR(INDEX(Data!A:A, MATCH($E3, Data!$B:$B, 0)), "")</f>
        <v>5736</v>
      </c>
      <c r="E3" s="9">
        <f>LARGE(Data!$B$2:$B1000,A3 )</f>
        <v>225.59</v>
      </c>
      <c r="F3" s="9">
        <f t="array" ref="F3">IFERROR(INDEX(Data!C:C, MATCH($E3, Data!$B:$B, 0)), "")</f>
        <v>63.46</v>
      </c>
      <c r="G3" s="9">
        <f t="array" ref="G3">IFERROR(INDEX(Data!D:D, MATCH($E3, Data!$B:$B, 0)), "")</f>
        <v>116.46</v>
      </c>
      <c r="H3" s="9">
        <f t="array" ref="H3">IFERROR(INDEX(Data!E:E, MATCH($E3, Data!$B:$B, 0)), "")</f>
        <v>45.66</v>
      </c>
      <c r="I3" s="9" t="str">
        <f t="shared" ref="I3:I1000" si="1">INDIRECT("'"&amp;D3&amp;"'!M12")</f>
        <v>#REF!</v>
      </c>
      <c r="J3" s="9" t="str">
        <f t="shared" ref="J3:J1000" si="2">INDIRECT("'"&amp;D3&amp;"'!j12")</f>
        <v>#REF!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2">
        <v>2.0</v>
      </c>
      <c r="B4" s="13">
        <v>2.0</v>
      </c>
      <c r="C4" s="9">
        <f t="array" ref="C4">IFERROR(INDEX(Data!F:F, MATCH($E4, Data!$B:$B, 0)), "")</f>
        <v>2</v>
      </c>
      <c r="D4" s="9">
        <f t="array" ref="D4">IFERROR(INDEX(Data!A:A, MATCH($E4, Data!$B:$B, 0)), "")</f>
        <v>870</v>
      </c>
      <c r="E4" s="9">
        <f>LARGE(Data!$B$2:$B1000,A4 )</f>
        <v>174.74</v>
      </c>
      <c r="F4" s="9">
        <f t="array" ref="F4">IFERROR(INDEX(Data!C:C, MATCH($E4, Data!$B:$B, 0)), "")</f>
        <v>46.69</v>
      </c>
      <c r="G4" s="9">
        <f t="array" ref="G4">IFERROR(INDEX(Data!D:D, MATCH($E4, Data!$B:$B, 0)), "")</f>
        <v>94.46</v>
      </c>
      <c r="H4" s="9">
        <f t="array" ref="H4">IFERROR(INDEX(Data!E:E, MATCH($E4, Data!$B:$B, 0)), "")</f>
        <v>33.59</v>
      </c>
      <c r="I4" s="9" t="str">
        <f t="shared" si="1"/>
        <v>#REF!</v>
      </c>
      <c r="J4" s="9" t="str">
        <f t="shared" si="2"/>
        <v>#REF!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2">
        <v>3.0</v>
      </c>
      <c r="B5" s="13">
        <v>3.0</v>
      </c>
      <c r="C5" s="9">
        <f t="array" ref="C5">IFERROR(INDEX(Data!F:F, MATCH($E5, Data!$B:$B, 0)), "")</f>
        <v>5</v>
      </c>
      <c r="D5" s="9">
        <f t="array" ref="D5">IFERROR(INDEX(Data!A:A, MATCH($E5, Data!$B:$B, 0)), "")</f>
        <v>2638</v>
      </c>
      <c r="E5" s="9">
        <f>LARGE(Data!$B$2:$B1000,A5 )</f>
        <v>130.91</v>
      </c>
      <c r="F5" s="9">
        <f t="array" ref="F5">IFERROR(INDEX(Data!C:C, MATCH($E5, Data!$B:$B, 0)), "")</f>
        <v>28.57</v>
      </c>
      <c r="G5" s="9">
        <f t="array" ref="G5">IFERROR(INDEX(Data!D:D, MATCH($E5, Data!$B:$B, 0)), "")</f>
        <v>75.29</v>
      </c>
      <c r="H5" s="9">
        <f t="array" ref="H5">IFERROR(INDEX(Data!E:E, MATCH($E5, Data!$B:$B, 0)), "")</f>
        <v>27.06</v>
      </c>
      <c r="I5" s="9" t="str">
        <f t="shared" si="1"/>
        <v>#REF!</v>
      </c>
      <c r="J5" s="9" t="str">
        <f t="shared" si="2"/>
        <v>#REF!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2">
        <v>4.0</v>
      </c>
      <c r="B6" s="13">
        <v>4.0</v>
      </c>
      <c r="C6" s="9">
        <f t="array" ref="C6">IFERROR(INDEX(Data!F:F, MATCH($E6, Data!$B:$B, 0)), "")</f>
        <v>15</v>
      </c>
      <c r="D6" s="9">
        <f t="array" ref="D6">IFERROR(INDEX(Data!A:A, MATCH($E6, Data!$B:$B, 0)), "")</f>
        <v>8267</v>
      </c>
      <c r="E6" s="9">
        <f>LARGE(Data!$B$2:$B1000,A6 )</f>
        <v>124.23</v>
      </c>
      <c r="F6" s="9">
        <f t="array" ref="F6">IFERROR(INDEX(Data!C:C, MATCH($E6, Data!$B:$B, 0)), "")</f>
        <v>28.83</v>
      </c>
      <c r="G6" s="9">
        <f t="array" ref="G6">IFERROR(INDEX(Data!D:D, MATCH($E6, Data!$B:$B, 0)), "")</f>
        <v>67.1</v>
      </c>
      <c r="H6" s="9">
        <f t="array" ref="H6">IFERROR(INDEX(Data!E:E, MATCH($E6, Data!$B:$B, 0)), "")</f>
        <v>28.3</v>
      </c>
      <c r="I6" s="9" t="str">
        <f t="shared" si="1"/>
        <v>#REF!</v>
      </c>
      <c r="J6" s="9" t="str">
        <f t="shared" si="2"/>
        <v>#REF!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2">
        <v>5.0</v>
      </c>
      <c r="B7" s="13">
        <v>5.0</v>
      </c>
      <c r="C7" s="9">
        <f t="array" ref="C7">IFERROR(INDEX(Data!F:F, MATCH($E7, Data!$B:$B, 0)), "")</f>
        <v>3</v>
      </c>
      <c r="D7" s="9">
        <f t="array" ref="D7">IFERROR(INDEX(Data!A:A, MATCH($E7, Data!$B:$B, 0)), "")</f>
        <v>287</v>
      </c>
      <c r="E7" s="9">
        <f>LARGE(Data!$B$2:$B1000,A7 )</f>
        <v>121.73</v>
      </c>
      <c r="F7" s="9">
        <f t="array" ref="F7">IFERROR(INDEX(Data!C:C, MATCH($E7, Data!$B:$B, 0)), "")</f>
        <v>23.87</v>
      </c>
      <c r="G7" s="9">
        <f t="array" ref="G7">IFERROR(INDEX(Data!D:D, MATCH($E7, Data!$B:$B, 0)), "")</f>
        <v>76.37</v>
      </c>
      <c r="H7" s="9">
        <f t="array" ref="H7">IFERROR(INDEX(Data!E:E, MATCH($E7, Data!$B:$B, 0)), "")</f>
        <v>21.49</v>
      </c>
      <c r="I7" s="9" t="str">
        <f t="shared" si="1"/>
        <v>#REF!</v>
      </c>
      <c r="J7" s="9" t="str">
        <f t="shared" si="2"/>
        <v>#REF!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2">
        <v>6.0</v>
      </c>
      <c r="B8" s="13">
        <v>6.0</v>
      </c>
      <c r="C8" s="9">
        <f t="array" ref="C8">IFERROR(INDEX(Data!F:F, MATCH($E8, Data!$B:$B, 0)), "")</f>
        <v>7</v>
      </c>
      <c r="D8" s="9">
        <f t="array" ref="D8">IFERROR(INDEX(Data!A:A, MATCH($E8, Data!$B:$B, 0)), "")</f>
        <v>2872</v>
      </c>
      <c r="E8" s="9">
        <f>LARGE(Data!$B$2:$B1000,A8 )</f>
        <v>113.91</v>
      </c>
      <c r="F8" s="9">
        <f t="array" ref="F8">IFERROR(INDEX(Data!C:C, MATCH($E8, Data!$B:$B, 0)), "")</f>
        <v>19.09</v>
      </c>
      <c r="G8" s="9">
        <f t="array" ref="G8">IFERROR(INDEX(Data!D:D, MATCH($E8, Data!$B:$B, 0)), "")</f>
        <v>70.65</v>
      </c>
      <c r="H8" s="9">
        <f t="array" ref="H8">IFERROR(INDEX(Data!E:E, MATCH($E8, Data!$B:$B, 0)), "")</f>
        <v>24.17</v>
      </c>
      <c r="I8" s="9" t="str">
        <f t="shared" si="1"/>
        <v>#REF!</v>
      </c>
      <c r="J8" s="9" t="str">
        <f t="shared" si="2"/>
        <v>#REF!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2">
        <v>7.0</v>
      </c>
      <c r="B9" s="13">
        <v>7.0</v>
      </c>
      <c r="C9" s="9">
        <f t="array" ref="C9">IFERROR(INDEX(Data!F:F, MATCH($E9, Data!$B:$B, 0)), "")</f>
        <v>12</v>
      </c>
      <c r="D9" s="9">
        <f t="array" ref="D9">IFERROR(INDEX(Data!A:A, MATCH($E9, Data!$B:$B, 0)), "")</f>
        <v>263</v>
      </c>
      <c r="E9" s="9">
        <f>LARGE(Data!$B$2:$B1000,A9 )</f>
        <v>79.71</v>
      </c>
      <c r="F9" s="9">
        <f t="array" ref="F9">IFERROR(INDEX(Data!C:C, MATCH($E9, Data!$B:$B, 0)), "")</f>
        <v>17.33</v>
      </c>
      <c r="G9" s="9">
        <f t="array" ref="G9">IFERROR(INDEX(Data!D:D, MATCH($E9, Data!$B:$B, 0)), "")</f>
        <v>41.46</v>
      </c>
      <c r="H9" s="9">
        <f t="array" ref="H9">IFERROR(INDEX(Data!E:E, MATCH($E9, Data!$B:$B, 0)), "")</f>
        <v>20.92</v>
      </c>
      <c r="I9" s="9" t="str">
        <f t="shared" si="1"/>
        <v/>
      </c>
      <c r="J9" s="9" t="str">
        <f t="shared" si="2"/>
        <v/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2">
        <v>8.0</v>
      </c>
      <c r="B10" s="13">
        <v>8.0</v>
      </c>
      <c r="C10" s="9">
        <f t="array" ref="C10">IFERROR(INDEX(Data!F:F, MATCH($E10, Data!$B:$B, 0)), "")</f>
        <v>16</v>
      </c>
      <c r="D10" s="9">
        <f t="array" ref="D10">IFERROR(INDEX(Data!A:A, MATCH($E10, Data!$B:$B, 0)), "")</f>
        <v>3950</v>
      </c>
      <c r="E10" s="9">
        <f>LARGE(Data!$B$2:$B1000,A10 )</f>
        <v>77.52</v>
      </c>
      <c r="F10" s="9">
        <f t="array" ref="F10">IFERROR(INDEX(Data!C:C, MATCH($E10, Data!$B:$B, 0)), "")</f>
        <v>21.16</v>
      </c>
      <c r="G10" s="9">
        <f t="array" ref="G10">IFERROR(INDEX(Data!D:D, MATCH($E10, Data!$B:$B, 0)), "")</f>
        <v>42.31</v>
      </c>
      <c r="H10" s="9">
        <f t="array" ref="H10">IFERROR(INDEX(Data!E:E, MATCH($E10, Data!$B:$B, 0)), "")</f>
        <v>14.06</v>
      </c>
      <c r="I10" s="9" t="str">
        <f t="shared" si="1"/>
        <v>#REF!</v>
      </c>
      <c r="J10" s="9" t="str">
        <f t="shared" si="2"/>
        <v>#REF!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12">
        <v>9.0</v>
      </c>
      <c r="B11" s="13">
        <v>9.0</v>
      </c>
      <c r="C11" s="9">
        <f t="array" ref="C11">IFERROR(INDEX(Data!F:F, MATCH($E11, Data!$B:$B, 0)), "")</f>
        <v>4</v>
      </c>
      <c r="D11" s="9">
        <f t="array" ref="D11">IFERROR(INDEX(Data!A:A, MATCH($E11, Data!$B:$B, 0)), "")</f>
        <v>1880</v>
      </c>
      <c r="E11" s="9">
        <f>LARGE(Data!$B$2:$B1000,A11 )</f>
        <v>74.96</v>
      </c>
      <c r="F11" s="9">
        <f t="array" ref="F11">IFERROR(INDEX(Data!C:C, MATCH($E11, Data!$B:$B, 0)), "")</f>
        <v>11.69</v>
      </c>
      <c r="G11" s="9">
        <f t="array" ref="G11">IFERROR(INDEX(Data!D:D, MATCH($E11, Data!$B:$B, 0)), "")</f>
        <v>45.83</v>
      </c>
      <c r="H11" s="9">
        <f t="array" ref="H11">IFERROR(INDEX(Data!E:E, MATCH($E11, Data!$B:$B, 0)), "")</f>
        <v>17.44</v>
      </c>
      <c r="I11" s="9" t="str">
        <f t="shared" si="1"/>
        <v>#REF!</v>
      </c>
      <c r="J11" s="9" t="str">
        <f t="shared" si="2"/>
        <v>#REF!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2">
        <v>10.0</v>
      </c>
      <c r="B12" s="13">
        <v>10.0</v>
      </c>
      <c r="C12" s="9">
        <f t="array" ref="C12">IFERROR(INDEX(Data!F:F, MATCH($E12, Data!$B:$B, 0)), "")</f>
        <v>6</v>
      </c>
      <c r="D12" s="9">
        <f t="array" ref="D12">IFERROR(INDEX(Data!A:A, MATCH($E12, Data!$B:$B, 0)), "")</f>
        <v>810</v>
      </c>
      <c r="E12" s="9">
        <f>LARGE(Data!$B$2:$B1000,A12 )</f>
        <v>74.35</v>
      </c>
      <c r="F12" s="9">
        <f t="array" ref="F12">IFERROR(INDEX(Data!C:C, MATCH($E12, Data!$B:$B, 0)), "")</f>
        <v>19.87</v>
      </c>
      <c r="G12" s="9">
        <f t="array" ref="G12">IFERROR(INDEX(Data!D:D, MATCH($E12, Data!$B:$B, 0)), "")</f>
        <v>36.47</v>
      </c>
      <c r="H12" s="9">
        <f t="array" ref="H12">IFERROR(INDEX(Data!E:E, MATCH($E12, Data!$B:$B, 0)), "")</f>
        <v>18.01</v>
      </c>
      <c r="I12" s="9" t="str">
        <f t="shared" si="1"/>
        <v>#REF!</v>
      </c>
      <c r="J12" s="9" t="str">
        <f t="shared" si="2"/>
        <v>#REF!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2">
        <v>11.0</v>
      </c>
      <c r="B13" s="13">
        <v>11.0</v>
      </c>
      <c r="C13" s="9">
        <f t="array" ref="C13">IFERROR(INDEX(Data!F:F, MATCH($E13, Data!$B:$B, 0)), "")</f>
        <v>17</v>
      </c>
      <c r="D13" s="9">
        <f t="array" ref="D13">IFERROR(INDEX(Data!A:A, MATCH($E13, Data!$B:$B, 0)), "")</f>
        <v>358</v>
      </c>
      <c r="E13" s="9">
        <f>LARGE(Data!$B$2:$B1000,A13 )</f>
        <v>67.35</v>
      </c>
      <c r="F13" s="9">
        <f t="array" ref="F13">IFERROR(INDEX(Data!C:C, MATCH($E13, Data!$B:$B, 0)), "")</f>
        <v>15.76</v>
      </c>
      <c r="G13" s="9">
        <f t="array" ref="G13">IFERROR(INDEX(Data!D:D, MATCH($E13, Data!$B:$B, 0)), "")</f>
        <v>34.95</v>
      </c>
      <c r="H13" s="9">
        <f t="array" ref="H13">IFERROR(INDEX(Data!E:E, MATCH($E13, Data!$B:$B, 0)), "")</f>
        <v>16.64</v>
      </c>
      <c r="I13" s="9" t="str">
        <f t="shared" si="1"/>
        <v>#REF!</v>
      </c>
      <c r="J13" s="9" t="str">
        <f t="shared" si="2"/>
        <v>#REF!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12">
        <v>12.0</v>
      </c>
      <c r="B14" s="13">
        <v>12.0</v>
      </c>
      <c r="C14" s="9">
        <f t="array" ref="C14">IFERROR(INDEX(Data!F:F, MATCH($E14, Data!$B:$B, 0)), "")</f>
        <v>8</v>
      </c>
      <c r="D14" s="9">
        <f t="array" ref="D14">IFERROR(INDEX(Data!A:A, MATCH($E14, Data!$B:$B, 0)), "")</f>
        <v>353</v>
      </c>
      <c r="E14" s="9">
        <f>LARGE(Data!$B$2:$B1000,A14 )</f>
        <v>59.82</v>
      </c>
      <c r="F14" s="9">
        <f t="array" ref="F14">IFERROR(INDEX(Data!C:C, MATCH($E14, Data!$B:$B, 0)), "")</f>
        <v>8.83</v>
      </c>
      <c r="G14" s="9">
        <f t="array" ref="G14">IFERROR(INDEX(Data!D:D, MATCH($E14, Data!$B:$B, 0)), "")</f>
        <v>37.18</v>
      </c>
      <c r="H14" s="9">
        <f t="array" ref="H14">IFERROR(INDEX(Data!E:E, MATCH($E14, Data!$B:$B, 0)), "")</f>
        <v>13.81</v>
      </c>
      <c r="I14" s="9" t="str">
        <f t="shared" si="1"/>
        <v>#REF!</v>
      </c>
      <c r="J14" s="9" t="str">
        <f t="shared" si="2"/>
        <v>#REF!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2">
        <v>13.0</v>
      </c>
      <c r="B15" s="13">
        <v>13.0</v>
      </c>
      <c r="C15" s="9">
        <f t="array" ref="C15">IFERROR(INDEX(Data!F:F, MATCH($E15, Data!$B:$B, 0)), "")</f>
        <v>13</v>
      </c>
      <c r="D15" s="9">
        <f t="array" ref="D15">IFERROR(INDEX(Data!A:A, MATCH($E15, Data!$B:$B, 0)), "")</f>
        <v>6423</v>
      </c>
      <c r="E15" s="9">
        <f>LARGE(Data!$B$2:$B1000,A15 )</f>
        <v>50.75</v>
      </c>
      <c r="F15" s="9">
        <f t="array" ref="F15">IFERROR(INDEX(Data!C:C, MATCH($E15, Data!$B:$B, 0)), "")</f>
        <v>5.28</v>
      </c>
      <c r="G15" s="9">
        <f t="array" ref="G15">IFERROR(INDEX(Data!D:D, MATCH($E15, Data!$B:$B, 0)), "")</f>
        <v>30.25</v>
      </c>
      <c r="H15" s="9">
        <f t="array" ref="H15">IFERROR(INDEX(Data!E:E, MATCH($E15, Data!$B:$B, 0)), "")</f>
        <v>15.22</v>
      </c>
      <c r="I15" s="9" t="str">
        <f t="shared" si="1"/>
        <v>#REF!</v>
      </c>
      <c r="J15" s="9" t="str">
        <f t="shared" si="2"/>
        <v>#REF!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12">
        <v>14.0</v>
      </c>
      <c r="B16" s="13">
        <v>14.0</v>
      </c>
      <c r="C16" s="9">
        <f t="array" ref="C16">IFERROR(INDEX(Data!F:F, MATCH($E16, Data!$B:$B, 0)), "")</f>
        <v>29</v>
      </c>
      <c r="D16" s="9">
        <f t="array" ref="D16">IFERROR(INDEX(Data!A:A, MATCH($E16, Data!$B:$B, 0)), "")</f>
        <v>2875</v>
      </c>
      <c r="E16" s="9">
        <f>LARGE(Data!$B$2:$B1000,A16 )</f>
        <v>48.38</v>
      </c>
      <c r="F16" s="9">
        <f t="array" ref="F16">IFERROR(INDEX(Data!C:C, MATCH($E16, Data!$B:$B, 0)), "")</f>
        <v>11.41</v>
      </c>
      <c r="G16" s="9">
        <f t="array" ref="G16">IFERROR(INDEX(Data!D:D, MATCH($E16, Data!$B:$B, 0)), "")</f>
        <v>24.35</v>
      </c>
      <c r="H16" s="9">
        <f t="array" ref="H16">IFERROR(INDEX(Data!E:E, MATCH($E16, Data!$B:$B, 0)), "")</f>
        <v>12.61</v>
      </c>
      <c r="I16" s="9" t="str">
        <f t="shared" si="1"/>
        <v>#REF!</v>
      </c>
      <c r="J16" s="9" t="str">
        <f t="shared" si="2"/>
        <v>#REF!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12">
        <v>15.0</v>
      </c>
      <c r="B17" s="13">
        <v>15.0</v>
      </c>
      <c r="C17" s="9">
        <f t="array" ref="C17">IFERROR(INDEX(Data!F:F, MATCH($E17, Data!$B:$B, 0)), "")</f>
        <v>27</v>
      </c>
      <c r="D17" s="9">
        <f t="array" ref="D17">IFERROR(INDEX(Data!A:A, MATCH($E17, Data!$B:$B, 0)), "")</f>
        <v>11030</v>
      </c>
      <c r="E17" s="9">
        <f>LARGE(Data!$B$2:$B1000,A17 )</f>
        <v>46.81</v>
      </c>
      <c r="F17" s="9">
        <f t="array" ref="F17">IFERROR(INDEX(Data!C:C, MATCH($E17, Data!$B:$B, 0)), "")</f>
        <v>7.23</v>
      </c>
      <c r="G17" s="9">
        <f t="array" ref="G17">IFERROR(INDEX(Data!D:D, MATCH($E17, Data!$B:$B, 0)), "")</f>
        <v>28.7</v>
      </c>
      <c r="H17" s="9">
        <f t="array" ref="H17">IFERROR(INDEX(Data!E:E, MATCH($E17, Data!$B:$B, 0)), "")</f>
        <v>10.88</v>
      </c>
      <c r="I17" s="9" t="str">
        <f t="shared" si="1"/>
        <v>#REF!</v>
      </c>
      <c r="J17" s="9" t="str">
        <f t="shared" si="2"/>
        <v>#REF!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12">
        <v>16.0</v>
      </c>
      <c r="B18" s="13">
        <v>16.0</v>
      </c>
      <c r="C18" s="9">
        <f t="array" ref="C18">IFERROR(INDEX(Data!F:F, MATCH($E18, Data!$B:$B, 0)), "")</f>
        <v>18</v>
      </c>
      <c r="D18" s="9">
        <f t="array" ref="D18">IFERROR(INDEX(Data!A:A, MATCH($E18, Data!$B:$B, 0)), "")</f>
        <v>496</v>
      </c>
      <c r="E18" s="9">
        <f>LARGE(Data!$B$2:$B1000,A18 )</f>
        <v>46.7</v>
      </c>
      <c r="F18" s="9">
        <f t="array" ref="F18">IFERROR(INDEX(Data!C:C, MATCH($E18, Data!$B:$B, 0)), "")</f>
        <v>6.82</v>
      </c>
      <c r="G18" s="9">
        <f t="array" ref="G18">IFERROR(INDEX(Data!D:D, MATCH($E18, Data!$B:$B, 0)), "")</f>
        <v>26.35</v>
      </c>
      <c r="H18" s="9">
        <f t="array" ref="H18">IFERROR(INDEX(Data!E:E, MATCH($E18, Data!$B:$B, 0)), "")</f>
        <v>13.53</v>
      </c>
      <c r="I18" s="9" t="str">
        <f t="shared" si="1"/>
        <v>#REF!</v>
      </c>
      <c r="J18" s="9" t="str">
        <f t="shared" si="2"/>
        <v>#REF!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>
        <v>17.0</v>
      </c>
      <c r="B19" s="13">
        <v>17.0</v>
      </c>
      <c r="C19" s="9">
        <f t="array" ref="C19">IFERROR(INDEX(Data!F:F, MATCH($E19, Data!$B:$B, 0)), "")</f>
        <v>9</v>
      </c>
      <c r="D19" s="9">
        <f t="array" ref="D19">IFERROR(INDEX(Data!A:A, MATCH($E19, Data!$B:$B, 0)), "")</f>
        <v>1554</v>
      </c>
      <c r="E19" s="9">
        <f>LARGE(Data!$B$2:$B1000,A19 )</f>
        <v>44.18</v>
      </c>
      <c r="F19" s="9">
        <f t="array" ref="F19">IFERROR(INDEX(Data!C:C, MATCH($E19, Data!$B:$B, 0)), "")</f>
        <v>11.06</v>
      </c>
      <c r="G19" s="9">
        <f t="array" ref="G19">IFERROR(INDEX(Data!D:D, MATCH($E19, Data!$B:$B, 0)), "")</f>
        <v>31.23</v>
      </c>
      <c r="H19" s="9">
        <f t="array" ref="H19">IFERROR(INDEX(Data!E:E, MATCH($E19, Data!$B:$B, 0)), "")</f>
        <v>1.89</v>
      </c>
      <c r="I19" s="9" t="str">
        <f t="shared" si="1"/>
        <v>#REF!</v>
      </c>
      <c r="J19" s="9" t="str">
        <f t="shared" si="2"/>
        <v>#REF!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12">
        <v>18.0</v>
      </c>
      <c r="B20" s="13">
        <v>18.0</v>
      </c>
      <c r="C20" s="9">
        <f t="array" ref="C20">IFERROR(INDEX(Data!F:F, MATCH($E20, Data!$B:$B, 0)), "")</f>
        <v>10</v>
      </c>
      <c r="D20" s="9">
        <f t="array" ref="D20">IFERROR(INDEX(Data!A:A, MATCH($E20, Data!$B:$B, 0)), "")</f>
        <v>4458</v>
      </c>
      <c r="E20" s="9">
        <f>LARGE(Data!$B$2:$B1000,A20 )</f>
        <v>43.67</v>
      </c>
      <c r="F20" s="9">
        <f t="array" ref="F20">IFERROR(INDEX(Data!C:C, MATCH($E20, Data!$B:$B, 0)), "")</f>
        <v>9.36</v>
      </c>
      <c r="G20" s="9">
        <f t="array" ref="G20">IFERROR(INDEX(Data!D:D, MATCH($E20, Data!$B:$B, 0)), "")</f>
        <v>19.57</v>
      </c>
      <c r="H20" s="9">
        <f t="array" ref="H20">IFERROR(INDEX(Data!E:E, MATCH($E20, Data!$B:$B, 0)), "")</f>
        <v>14.73</v>
      </c>
      <c r="I20" s="9" t="str">
        <f t="shared" si="1"/>
        <v>#REF!</v>
      </c>
      <c r="J20" s="9" t="str">
        <f t="shared" si="2"/>
        <v>#REF!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12">
        <v>19.0</v>
      </c>
      <c r="B21" s="13">
        <v>19.0</v>
      </c>
      <c r="C21" s="9">
        <f t="array" ref="C21">IFERROR(INDEX(Data!F:F, MATCH($E21, Data!$B:$B, 0)), "")</f>
        <v>11</v>
      </c>
      <c r="D21" s="9">
        <f t="array" ref="D21">IFERROR(INDEX(Data!A:A, MATCH($E21, Data!$B:$B, 0)), "")</f>
        <v>1468</v>
      </c>
      <c r="E21" s="9">
        <f>LARGE(Data!$B$2:$B1000,A21 )</f>
        <v>43.6</v>
      </c>
      <c r="F21" s="9">
        <f t="array" ref="F21">IFERROR(INDEX(Data!C:C, MATCH($E21, Data!$B:$B, 0)), "")</f>
        <v>10.57</v>
      </c>
      <c r="G21" s="9">
        <f t="array" ref="G21">IFERROR(INDEX(Data!D:D, MATCH($E21, Data!$B:$B, 0)), "")</f>
        <v>23.09</v>
      </c>
      <c r="H21" s="9">
        <f t="array" ref="H21">IFERROR(INDEX(Data!E:E, MATCH($E21, Data!$B:$B, 0)), "")</f>
        <v>9.94</v>
      </c>
      <c r="I21" s="9" t="str">
        <f t="shared" si="1"/>
        <v>#REF!</v>
      </c>
      <c r="J21" s="9" t="str">
        <f t="shared" si="2"/>
        <v>#REF!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12">
        <v>20.0</v>
      </c>
      <c r="B22" s="13">
        <v>20.0</v>
      </c>
      <c r="C22" s="9">
        <f t="array" ref="C22">IFERROR(INDEX(Data!F:F, MATCH($E22, Data!$B:$B, 0)), "")</f>
        <v>36</v>
      </c>
      <c r="D22" s="9">
        <f t="array" ref="D22">IFERROR(INDEX(Data!A:A, MATCH($E22, Data!$B:$B, 0)), "")</f>
        <v>2869</v>
      </c>
      <c r="E22" s="9">
        <f>LARGE(Data!$B$2:$B1000,A22 )</f>
        <v>41.7</v>
      </c>
      <c r="F22" s="9">
        <f t="array" ref="F22">IFERROR(INDEX(Data!C:C, MATCH($E22, Data!$B:$B, 0)), "")</f>
        <v>10.96</v>
      </c>
      <c r="G22" s="9">
        <f t="array" ref="G22">IFERROR(INDEX(Data!D:D, MATCH($E22, Data!$B:$B, 0)), "")</f>
        <v>25.49</v>
      </c>
      <c r="H22" s="9">
        <f t="array" ref="H22">IFERROR(INDEX(Data!E:E, MATCH($E22, Data!$B:$B, 0)), "")</f>
        <v>5.24</v>
      </c>
      <c r="I22" s="9" t="str">
        <f t="shared" si="1"/>
        <v>#REF!</v>
      </c>
      <c r="J22" s="9" t="str">
        <f t="shared" si="2"/>
        <v>#REF!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2">
        <v>21.0</v>
      </c>
      <c r="B23" s="13">
        <v>21.0</v>
      </c>
      <c r="C23" s="9">
        <f t="array" ref="C23">IFERROR(INDEX(Data!F:F, MATCH($E23, Data!$B:$B, 0)), "")</f>
        <v>35</v>
      </c>
      <c r="D23" s="9">
        <f t="array" ref="D23">IFERROR(INDEX(Data!A:A, MATCH($E23, Data!$B:$B, 0)), "")</f>
        <v>9016</v>
      </c>
      <c r="E23" s="9">
        <f>LARGE(Data!$B$2:$B1000,A23 )</f>
        <v>39.71</v>
      </c>
      <c r="F23" s="9">
        <f t="array" ref="F23">IFERROR(INDEX(Data!C:C, MATCH($E23, Data!$B:$B, 0)), "")</f>
        <v>13.26</v>
      </c>
      <c r="G23" s="9">
        <f t="array" ref="G23">IFERROR(INDEX(Data!D:D, MATCH($E23, Data!$B:$B, 0)), "")</f>
        <v>15.76</v>
      </c>
      <c r="H23" s="9">
        <f t="array" ref="H23">IFERROR(INDEX(Data!E:E, MATCH($E23, Data!$B:$B, 0)), "")</f>
        <v>10.7</v>
      </c>
      <c r="I23" s="9" t="str">
        <f t="shared" si="1"/>
        <v>#REF!</v>
      </c>
      <c r="J23" s="9" t="str">
        <f t="shared" si="2"/>
        <v>#REF!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12">
        <v>22.0</v>
      </c>
      <c r="B24" s="13">
        <v>22.0</v>
      </c>
      <c r="C24" s="9">
        <f t="array" ref="C24">IFERROR(INDEX(Data!F:F, MATCH($E24, Data!$B:$B, 0)), "")</f>
        <v>32</v>
      </c>
      <c r="D24" s="9">
        <f t="array" ref="D24">IFERROR(INDEX(Data!A:A, MATCH($E24, Data!$B:$B, 0)), "")</f>
        <v>871</v>
      </c>
      <c r="E24" s="9">
        <f>LARGE(Data!$B$2:$B1000,A24 )</f>
        <v>38.67</v>
      </c>
      <c r="F24" s="9">
        <f t="array" ref="F24">IFERROR(INDEX(Data!C:C, MATCH($E24, Data!$B:$B, 0)), "")</f>
        <v>13.07</v>
      </c>
      <c r="G24" s="9">
        <f t="array" ref="G24">IFERROR(INDEX(Data!D:D, MATCH($E24, Data!$B:$B, 0)), "")</f>
        <v>18.13</v>
      </c>
      <c r="H24" s="9">
        <f t="array" ref="H24">IFERROR(INDEX(Data!E:E, MATCH($E24, Data!$B:$B, 0)), "")</f>
        <v>7.46</v>
      </c>
      <c r="I24" s="9" t="str">
        <f t="shared" si="1"/>
        <v>#REF!</v>
      </c>
      <c r="J24" s="9" t="str">
        <f t="shared" si="2"/>
        <v>#REF!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12">
        <v>23.0</v>
      </c>
      <c r="B25" s="13">
        <v>23.0</v>
      </c>
      <c r="C25" s="9">
        <f t="array" ref="C25">IFERROR(INDEX(Data!F:F, MATCH($E25, Data!$B:$B, 0)), "")</f>
        <v>22</v>
      </c>
      <c r="D25" s="9">
        <f t="array" ref="D25">IFERROR(INDEX(Data!A:A, MATCH($E25, Data!$B:$B, 0)), "")</f>
        <v>9646</v>
      </c>
      <c r="E25" s="9">
        <f>LARGE(Data!$B$2:$B1000,A25 )</f>
        <v>38.43</v>
      </c>
      <c r="F25" s="9">
        <f t="array" ref="F25">IFERROR(INDEX(Data!C:C, MATCH($E25, Data!$B:$B, 0)), "")</f>
        <v>7.46</v>
      </c>
      <c r="G25" s="9">
        <f t="array" ref="G25">IFERROR(INDEX(Data!D:D, MATCH($E25, Data!$B:$B, 0)), "")</f>
        <v>23</v>
      </c>
      <c r="H25" s="9">
        <f t="array" ref="H25">IFERROR(INDEX(Data!E:E, MATCH($E25, Data!$B:$B, 0)), "")</f>
        <v>7.98</v>
      </c>
      <c r="I25" s="9" t="str">
        <f t="shared" si="1"/>
        <v>#REF!</v>
      </c>
      <c r="J25" s="9" t="str">
        <f t="shared" si="2"/>
        <v>#REF!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12">
        <v>24.0</v>
      </c>
      <c r="B26" s="13">
        <v>24.0</v>
      </c>
      <c r="C26" s="9">
        <f t="array" ref="C26">IFERROR(INDEX(Data!F:F, MATCH($E26, Data!$B:$B, 0)), "")</f>
        <v>46</v>
      </c>
      <c r="D26" s="9">
        <f t="array" ref="D26">IFERROR(INDEX(Data!A:A, MATCH($E26, Data!$B:$B, 0)), "")</f>
        <v>5016</v>
      </c>
      <c r="E26" s="9">
        <f>LARGE(Data!$B$2:$B1000,A26 )</f>
        <v>37.67</v>
      </c>
      <c r="F26" s="9">
        <f t="array" ref="F26">IFERROR(INDEX(Data!C:C, MATCH($E26, Data!$B:$B, 0)), "")</f>
        <v>5.71</v>
      </c>
      <c r="G26" s="9">
        <f t="array" ref="G26">IFERROR(INDEX(Data!D:D, MATCH($E26, Data!$B:$B, 0)), "")</f>
        <v>20.44</v>
      </c>
      <c r="H26" s="9">
        <f t="array" ref="H26">IFERROR(INDEX(Data!E:E, MATCH($E26, Data!$B:$B, 0)), "")</f>
        <v>11.52</v>
      </c>
      <c r="I26" s="9" t="str">
        <f t="shared" si="1"/>
        <v>#REF!</v>
      </c>
      <c r="J26" s="9" t="str">
        <f t="shared" si="2"/>
        <v>#REF!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12">
        <v>25.0</v>
      </c>
      <c r="B27" s="13">
        <v>25.0</v>
      </c>
      <c r="C27" s="9">
        <f t="array" ref="C27">IFERROR(INDEX(Data!F:F, MATCH($E27, Data!$B:$B, 0)), "")</f>
        <v>31</v>
      </c>
      <c r="D27" s="9">
        <f t="array" ref="D27">IFERROR(INDEX(Data!A:A, MATCH($E27, Data!$B:$B, 0)), "")</f>
        <v>6806</v>
      </c>
      <c r="E27" s="9">
        <f>LARGE(Data!$B$2:$B1000,A27 )</f>
        <v>36.75</v>
      </c>
      <c r="F27" s="9">
        <f t="array" ref="F27">IFERROR(INDEX(Data!C:C, MATCH($E27, Data!$B:$B, 0)), "")</f>
        <v>6.63</v>
      </c>
      <c r="G27" s="9">
        <f t="array" ref="G27">IFERROR(INDEX(Data!D:D, MATCH($E27, Data!$B:$B, 0)), "")</f>
        <v>21.63</v>
      </c>
      <c r="H27" s="9">
        <f t="array" ref="H27">IFERROR(INDEX(Data!E:E, MATCH($E27, Data!$B:$B, 0)), "")</f>
        <v>8.5</v>
      </c>
      <c r="I27" s="9" t="str">
        <f t="shared" si="1"/>
        <v>#REF!</v>
      </c>
      <c r="J27" s="9" t="str">
        <f t="shared" si="2"/>
        <v>#REF!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12">
        <v>26.0</v>
      </c>
      <c r="B28" s="13">
        <v>26.0</v>
      </c>
      <c r="C28" s="9">
        <f t="array" ref="C28">IFERROR(INDEX(Data!F:F, MATCH($E28, Data!$B:$B, 0)), "")</f>
        <v>14</v>
      </c>
      <c r="D28" s="9">
        <f t="array" ref="D28">IFERROR(INDEX(Data!A:A, MATCH($E28, Data!$B:$B, 0)), "")</f>
        <v>1546</v>
      </c>
      <c r="E28" s="9">
        <f>LARGE(Data!$B$2:$B1000,A28 )</f>
        <v>33.62</v>
      </c>
      <c r="F28" s="9">
        <f t="array" ref="F28">IFERROR(INDEX(Data!C:C, MATCH($E28, Data!$B:$B, 0)), "")</f>
        <v>9.41</v>
      </c>
      <c r="G28" s="9">
        <f t="array" ref="G28">IFERROR(INDEX(Data!D:D, MATCH($E28, Data!$B:$B, 0)), "")</f>
        <v>17.42</v>
      </c>
      <c r="H28" s="9">
        <f t="array" ref="H28">IFERROR(INDEX(Data!E:E, MATCH($E28, Data!$B:$B, 0)), "")</f>
        <v>6.78</v>
      </c>
      <c r="I28" s="9" t="str">
        <f t="shared" si="1"/>
        <v>#REF!</v>
      </c>
      <c r="J28" s="9" t="str">
        <f t="shared" si="2"/>
        <v>#REF!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12">
        <v>27.0</v>
      </c>
      <c r="B29" s="13">
        <v>27.0</v>
      </c>
      <c r="C29" s="9">
        <f t="array" ref="C29">IFERROR(INDEX(Data!F:F, MATCH($E29, Data!$B:$B, 0)), "")</f>
        <v>25</v>
      </c>
      <c r="D29" s="9">
        <f t="array" ref="D29">IFERROR(INDEX(Data!A:A, MATCH($E29, Data!$B:$B, 0)), "")</f>
        <v>329</v>
      </c>
      <c r="E29" s="9">
        <f>LARGE(Data!$B$2:$B1000,A29 )</f>
        <v>29.47</v>
      </c>
      <c r="F29" s="9">
        <f t="array" ref="F29">IFERROR(INDEX(Data!C:C, MATCH($E29, Data!$B:$B, 0)), "")</f>
        <v>3.42</v>
      </c>
      <c r="G29" s="9">
        <f t="array" ref="G29">IFERROR(INDEX(Data!D:D, MATCH($E29, Data!$B:$B, 0)), "")</f>
        <v>16.99</v>
      </c>
      <c r="H29" s="9">
        <f t="array" ref="H29">IFERROR(INDEX(Data!E:E, MATCH($E29, Data!$B:$B, 0)), "")</f>
        <v>9.06</v>
      </c>
      <c r="I29" s="9" t="str">
        <f t="shared" si="1"/>
        <v>#REF!</v>
      </c>
      <c r="J29" s="9" t="str">
        <f t="shared" si="2"/>
        <v>#REF!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12">
        <v>28.0</v>
      </c>
      <c r="B30" s="13">
        <v>28.0</v>
      </c>
      <c r="C30" s="9">
        <f t="array" ref="C30">IFERROR(INDEX(Data!F:F, MATCH($E30, Data!$B:$B, 0)), "")</f>
        <v>19</v>
      </c>
      <c r="D30" s="9">
        <f t="array" ref="D30">IFERROR(INDEX(Data!A:A, MATCH($E30, Data!$B:$B, 0)), "")</f>
        <v>1803</v>
      </c>
      <c r="E30" s="9">
        <f>LARGE(Data!$B$2:$B1000,A30 )</f>
        <v>27.5</v>
      </c>
      <c r="F30" s="9">
        <f t="array" ref="F30">IFERROR(INDEX(Data!C:C, MATCH($E30, Data!$B:$B, 0)), "")</f>
        <v>7.49</v>
      </c>
      <c r="G30" s="9">
        <f t="array" ref="G30">IFERROR(INDEX(Data!D:D, MATCH($E30, Data!$B:$B, 0)), "")</f>
        <v>14.61</v>
      </c>
      <c r="H30" s="9">
        <f t="array" ref="H30">IFERROR(INDEX(Data!E:E, MATCH($E30, Data!$B:$B, 0)), "")</f>
        <v>5.39</v>
      </c>
      <c r="I30" s="9" t="str">
        <f t="shared" si="1"/>
        <v>#REF!</v>
      </c>
      <c r="J30" s="9" t="str">
        <f t="shared" si="2"/>
        <v>#REF!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12">
        <v>29.0</v>
      </c>
      <c r="B31" s="13">
        <v>29.0</v>
      </c>
      <c r="C31" s="9">
        <f t="array" ref="C31">IFERROR(INDEX(Data!F:F, MATCH($E31, Data!$B:$B, 0)), "")</f>
        <v>24</v>
      </c>
      <c r="D31" s="9">
        <f t="array" ref="D31">IFERROR(INDEX(Data!A:A, MATCH($E31, Data!$B:$B, 0)), "")</f>
        <v>28</v>
      </c>
      <c r="E31" s="9">
        <f>LARGE(Data!$B$2:$B1000,A31 )</f>
        <v>25.99</v>
      </c>
      <c r="F31" s="9">
        <f t="array" ref="F31">IFERROR(INDEX(Data!C:C, MATCH($E31, Data!$B:$B, 0)), "")</f>
        <v>8.15</v>
      </c>
      <c r="G31" s="9">
        <f t="array" ref="G31">IFERROR(INDEX(Data!D:D, MATCH($E31, Data!$B:$B, 0)), "")</f>
        <v>12.62</v>
      </c>
      <c r="H31" s="9">
        <f t="array" ref="H31">IFERROR(INDEX(Data!E:E, MATCH($E31, Data!$B:$B, 0)), "")</f>
        <v>5.22</v>
      </c>
      <c r="I31" s="9" t="str">
        <f t="shared" si="1"/>
        <v>#REF!</v>
      </c>
      <c r="J31" s="9" t="str">
        <f t="shared" si="2"/>
        <v>#REF!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12">
        <v>30.0</v>
      </c>
      <c r="B32" s="13">
        <v>30.0</v>
      </c>
      <c r="C32" s="9">
        <f t="array" ref="C32">IFERROR(INDEX(Data!F:F, MATCH($E32, Data!$B:$B, 0)), "")</f>
        <v>44</v>
      </c>
      <c r="D32" s="9">
        <f t="array" ref="D32">IFERROR(INDEX(Data!A:A, MATCH($E32, Data!$B:$B, 0)), "")</f>
        <v>3624</v>
      </c>
      <c r="E32" s="9">
        <f>LARGE(Data!$B$2:$B1000,A32 )</f>
        <v>24.96</v>
      </c>
      <c r="F32" s="9">
        <f t="array" ref="F32">IFERROR(INDEX(Data!C:C, MATCH($E32, Data!$B:$B, 0)), "")</f>
        <v>6.29</v>
      </c>
      <c r="G32" s="9">
        <f t="array" ref="G32">IFERROR(INDEX(Data!D:D, MATCH($E32, Data!$B:$B, 0)), "")</f>
        <v>15.46</v>
      </c>
      <c r="H32" s="9">
        <f t="array" ref="H32">IFERROR(INDEX(Data!E:E, MATCH($E32, Data!$B:$B, 0)), "")</f>
        <v>3.21</v>
      </c>
      <c r="I32" s="9" t="str">
        <f t="shared" si="1"/>
        <v>#REF!</v>
      </c>
      <c r="J32" s="9" t="str">
        <f t="shared" si="2"/>
        <v>#REF!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12">
        <v>31.0</v>
      </c>
      <c r="B33" s="13">
        <v>31.0</v>
      </c>
      <c r="C33" s="9">
        <f t="array" ref="C33">IFERROR(INDEX(Data!F:F, MATCH($E33, Data!$B:$B, 0)), "")</f>
        <v>28</v>
      </c>
      <c r="D33" s="9">
        <f t="array" ref="D33">IFERROR(INDEX(Data!A:A, MATCH($E33, Data!$B:$B, 0)), "")</f>
        <v>527</v>
      </c>
      <c r="E33" s="9">
        <f>LARGE(Data!$B$2:$B1000,A33 )</f>
        <v>24.56</v>
      </c>
      <c r="F33" s="9">
        <f t="array" ref="F33">IFERROR(INDEX(Data!C:C, MATCH($E33, Data!$B:$B, 0)), "")</f>
        <v>9.14</v>
      </c>
      <c r="G33" s="9">
        <f t="array" ref="G33">IFERROR(INDEX(Data!D:D, MATCH($E33, Data!$B:$B, 0)), "")</f>
        <v>10.64</v>
      </c>
      <c r="H33" s="9">
        <f t="array" ref="H33">IFERROR(INDEX(Data!E:E, MATCH($E33, Data!$B:$B, 0)), "")</f>
        <v>4.78</v>
      </c>
      <c r="I33" s="9" t="str">
        <f t="shared" si="1"/>
        <v>#REF!</v>
      </c>
      <c r="J33" s="9" t="str">
        <f t="shared" si="2"/>
        <v>#REF!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12">
        <v>32.0</v>
      </c>
      <c r="B34" s="13">
        <v>32.0</v>
      </c>
      <c r="C34" s="9">
        <f t="array" ref="C34">IFERROR(INDEX(Data!F:F, MATCH($E34, Data!$B:$B, 0)), "")</f>
        <v>42</v>
      </c>
      <c r="D34" s="9">
        <f t="array" ref="D34">IFERROR(INDEX(Data!A:A, MATCH($E34, Data!$B:$B, 0)), "")</f>
        <v>3137</v>
      </c>
      <c r="E34" s="9">
        <f>LARGE(Data!$B$2:$B1000,A34 )</f>
        <v>23.54</v>
      </c>
      <c r="F34" s="9">
        <f t="array" ref="F34">IFERROR(INDEX(Data!C:C, MATCH($E34, Data!$B:$B, 0)), "")</f>
        <v>9.55</v>
      </c>
      <c r="G34" s="9">
        <f t="array" ref="G34">IFERROR(INDEX(Data!D:D, MATCH($E34, Data!$B:$B, 0)), "")</f>
        <v>6.95</v>
      </c>
      <c r="H34" s="9">
        <f t="array" ref="H34">IFERROR(INDEX(Data!E:E, MATCH($E34, Data!$B:$B, 0)), "")</f>
        <v>7.05</v>
      </c>
      <c r="I34" s="9" t="str">
        <f t="shared" si="1"/>
        <v>#REF!</v>
      </c>
      <c r="J34" s="9" t="str">
        <f t="shared" si="2"/>
        <v>#REF!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12">
        <v>33.0</v>
      </c>
      <c r="B35" s="13">
        <v>33.0</v>
      </c>
      <c r="C35" s="9">
        <f t="array" ref="C35">IFERROR(INDEX(Data!F:F, MATCH($E35, Data!$B:$B, 0)), "")</f>
        <v>48</v>
      </c>
      <c r="D35" s="9">
        <f t="array" ref="D35">IFERROR(INDEX(Data!A:A, MATCH($E35, Data!$B:$B, 0)), "")</f>
        <v>3171</v>
      </c>
      <c r="E35" s="9">
        <f>LARGE(Data!$B$2:$B1000,A35 )</f>
        <v>23.49</v>
      </c>
      <c r="F35" s="9">
        <f t="array" ref="F35">IFERROR(INDEX(Data!C:C, MATCH($E35, Data!$B:$B, 0)), "")</f>
        <v>5.7</v>
      </c>
      <c r="G35" s="9">
        <f t="array" ref="G35">IFERROR(INDEX(Data!D:D, MATCH($E35, Data!$B:$B, 0)), "")</f>
        <v>6.86</v>
      </c>
      <c r="H35" s="9">
        <f t="array" ref="H35">IFERROR(INDEX(Data!E:E, MATCH($E35, Data!$B:$B, 0)), "")</f>
        <v>10.92</v>
      </c>
      <c r="I35" s="9" t="str">
        <f t="shared" si="1"/>
        <v>#REF!</v>
      </c>
      <c r="J35" s="9" t="str">
        <f t="shared" si="2"/>
        <v>#REF!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12">
        <v>34.0</v>
      </c>
      <c r="B36" s="13">
        <v>34.0</v>
      </c>
      <c r="C36" s="9">
        <f t="array" ref="C36">IFERROR(INDEX(Data!F:F, MATCH($E36, Data!$B:$B, 0)), "")</f>
        <v>23</v>
      </c>
      <c r="D36" s="9">
        <f t="array" ref="D36">IFERROR(INDEX(Data!A:A, MATCH($E36, Data!$B:$B, 0)), "")</f>
        <v>2161</v>
      </c>
      <c r="E36" s="9">
        <f>LARGE(Data!$B$2:$B1000,A36 )</f>
        <v>22.68</v>
      </c>
      <c r="F36" s="9">
        <f t="array" ref="F36">IFERROR(INDEX(Data!C:C, MATCH($E36, Data!$B:$B, 0)), "")</f>
        <v>7.51</v>
      </c>
      <c r="G36" s="9">
        <f t="array" ref="G36">IFERROR(INDEX(Data!D:D, MATCH($E36, Data!$B:$B, 0)), "")</f>
        <v>11.49</v>
      </c>
      <c r="H36" s="9">
        <f t="array" ref="H36">IFERROR(INDEX(Data!E:E, MATCH($E36, Data!$B:$B, 0)), "")</f>
        <v>3.68</v>
      </c>
      <c r="I36" s="9" t="str">
        <f t="shared" si="1"/>
        <v>#REF!</v>
      </c>
      <c r="J36" s="9" t="str">
        <f t="shared" si="2"/>
        <v>#REF!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12">
        <v>35.0</v>
      </c>
      <c r="B37" s="13">
        <v>35.0</v>
      </c>
      <c r="C37" s="9">
        <f t="array" ref="C37">IFERROR(INDEX(Data!F:F, MATCH($E37, Data!$B:$B, 0)), "")</f>
        <v>21</v>
      </c>
      <c r="D37" s="9">
        <f t="array" ref="D37">IFERROR(INDEX(Data!A:A, MATCH($E37, Data!$B:$B, 0)), "")</f>
        <v>533</v>
      </c>
      <c r="E37" s="9">
        <f>LARGE(Data!$B$2:$B1000,A37 )</f>
        <v>22.41</v>
      </c>
      <c r="F37" s="9">
        <f t="array" ref="F37">IFERROR(INDEX(Data!C:C, MATCH($E37, Data!$B:$B, 0)), "")</f>
        <v>9.65</v>
      </c>
      <c r="G37" s="9">
        <f t="array" ref="G37">IFERROR(INDEX(Data!D:D, MATCH($E37, Data!$B:$B, 0)), "")</f>
        <v>6.08</v>
      </c>
      <c r="H37" s="9">
        <f t="array" ref="H37">IFERROR(INDEX(Data!E:E, MATCH($E37, Data!$B:$B, 0)), "")</f>
        <v>6.68</v>
      </c>
      <c r="I37" s="9" t="str">
        <f t="shared" si="1"/>
        <v>#REF!</v>
      </c>
      <c r="J37" s="9" t="str">
        <f t="shared" si="2"/>
        <v>#REF!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12">
        <v>36.0</v>
      </c>
      <c r="B38" s="13">
        <v>36.0</v>
      </c>
      <c r="C38" s="9">
        <f t="array" ref="C38">IFERROR(INDEX(Data!F:F, MATCH($E38, Data!$B:$B, 0)), "")</f>
        <v>38</v>
      </c>
      <c r="D38" s="9">
        <f t="array" ref="D38">IFERROR(INDEX(Data!A:A, MATCH($E38, Data!$B:$B, 0)), "")</f>
        <v>564</v>
      </c>
      <c r="E38" s="9">
        <f>LARGE(Data!$B$2:$B1000,A38 )</f>
        <v>22.11</v>
      </c>
      <c r="F38" s="9">
        <f t="array" ref="F38">IFERROR(INDEX(Data!C:C, MATCH($E38, Data!$B:$B, 0)), "")</f>
        <v>6.22</v>
      </c>
      <c r="G38" s="9">
        <f t="array" ref="G38">IFERROR(INDEX(Data!D:D, MATCH($E38, Data!$B:$B, 0)), "")</f>
        <v>9.93</v>
      </c>
      <c r="H38" s="9">
        <f t="array" ref="H38">IFERROR(INDEX(Data!E:E, MATCH($E38, Data!$B:$B, 0)), "")</f>
        <v>5.97</v>
      </c>
      <c r="I38" s="9" t="str">
        <f t="shared" si="1"/>
        <v>#REF!</v>
      </c>
      <c r="J38" s="9" t="str">
        <f t="shared" si="2"/>
        <v>#REF!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12">
        <v>37.0</v>
      </c>
      <c r="B39" s="13">
        <v>37.0</v>
      </c>
      <c r="C39" s="9">
        <f t="array" ref="C39">IFERROR(INDEX(Data!F:F, MATCH($E39, Data!$B:$B, 0)), "")</f>
        <v>41</v>
      </c>
      <c r="D39" s="9">
        <f t="array" ref="D39">IFERROR(INDEX(Data!A:A, MATCH($E39, Data!$B:$B, 0)), "")</f>
        <v>2027</v>
      </c>
      <c r="E39" s="9">
        <f>LARGE(Data!$B$2:$B1000,A39 )</f>
        <v>20.95</v>
      </c>
      <c r="F39" s="9">
        <f t="array" ref="F39">IFERROR(INDEX(Data!C:C, MATCH($E39, Data!$B:$B, 0)), "")</f>
        <v>7.32</v>
      </c>
      <c r="G39" s="9">
        <f t="array" ref="G39">IFERROR(INDEX(Data!D:D, MATCH($E39, Data!$B:$B, 0)), "")</f>
        <v>9.36</v>
      </c>
      <c r="H39" s="9">
        <f t="array" ref="H39">IFERROR(INDEX(Data!E:E, MATCH($E39, Data!$B:$B, 0)), "")</f>
        <v>4.27</v>
      </c>
      <c r="I39" s="9" t="str">
        <f t="shared" si="1"/>
        <v>#REF!</v>
      </c>
      <c r="J39" s="9" t="str">
        <f t="shared" si="2"/>
        <v>#REF!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12">
        <v>38.0</v>
      </c>
      <c r="B40" s="13">
        <v>38.0</v>
      </c>
      <c r="C40" s="9">
        <f t="array" ref="C40">IFERROR(INDEX(Data!F:F, MATCH($E40, Data!$B:$B, 0)), "")</f>
        <v>20</v>
      </c>
      <c r="D40" s="9">
        <f t="array" ref="D40">IFERROR(INDEX(Data!A:A, MATCH($E40, Data!$B:$B, 0)), "")</f>
        <v>2347</v>
      </c>
      <c r="E40" s="9">
        <f>LARGE(Data!$B$2:$B1000,A40 )</f>
        <v>20.29</v>
      </c>
      <c r="F40" s="9">
        <f t="array" ref="F40">IFERROR(INDEX(Data!C:C, MATCH($E40, Data!$B:$B, 0)), "")</f>
        <v>6.65</v>
      </c>
      <c r="G40" s="9">
        <f t="array" ref="G40">IFERROR(INDEX(Data!D:D, MATCH($E40, Data!$B:$B, 0)), "")</f>
        <v>10.59</v>
      </c>
      <c r="H40" s="9">
        <f t="array" ref="H40">IFERROR(INDEX(Data!E:E, MATCH($E40, Data!$B:$B, 0)), "")</f>
        <v>3.05</v>
      </c>
      <c r="I40" s="9" t="str">
        <f t="shared" si="1"/>
        <v>#REF!</v>
      </c>
      <c r="J40" s="9" t="str">
        <f t="shared" si="2"/>
        <v>#REF!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12">
        <v>39.0</v>
      </c>
      <c r="B41" s="13">
        <v>39.0</v>
      </c>
      <c r="C41" s="9">
        <f t="array" ref="C41">IFERROR(INDEX(Data!F:F, MATCH($E41, Data!$B:$B, 0)), "")</f>
        <v>33</v>
      </c>
      <c r="D41" s="9">
        <f t="array" ref="D41">IFERROR(INDEX(Data!A:A, MATCH($E41, Data!$B:$B, 0)), "")</f>
        <v>7673</v>
      </c>
      <c r="E41" s="9">
        <f>LARGE(Data!$B$2:$B1000,A41 )</f>
        <v>18.33</v>
      </c>
      <c r="F41" s="9">
        <f t="array" ref="F41">IFERROR(INDEX(Data!C:C, MATCH($E41, Data!$B:$B, 0)), "")</f>
        <v>4.38</v>
      </c>
      <c r="G41" s="9">
        <f t="array" ref="G41">IFERROR(INDEX(Data!D:D, MATCH($E41, Data!$B:$B, 0)), "")</f>
        <v>6.59</v>
      </c>
      <c r="H41" s="9">
        <f t="array" ref="H41">IFERROR(INDEX(Data!E:E, MATCH($E41, Data!$B:$B, 0)), "")</f>
        <v>7.36</v>
      </c>
      <c r="I41" s="9" t="str">
        <f t="shared" si="1"/>
        <v>#REF!</v>
      </c>
      <c r="J41" s="9" t="str">
        <f t="shared" si="2"/>
        <v>#REF!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12">
        <v>40.0</v>
      </c>
      <c r="B42" s="13">
        <v>40.0</v>
      </c>
      <c r="C42" s="9">
        <f t="array" ref="C42">IFERROR(INDEX(Data!F:F, MATCH($E42, Data!$B:$B, 0)), "")</f>
        <v>26</v>
      </c>
      <c r="D42" s="9">
        <f t="array" ref="D42">IFERROR(INDEX(Data!A:A, MATCH($E42, Data!$B:$B, 0)), "")</f>
        <v>10621</v>
      </c>
      <c r="E42" s="9">
        <f>LARGE(Data!$B$2:$B1000,A42 )</f>
        <v>17.39</v>
      </c>
      <c r="F42" s="9">
        <f t="array" ref="F42">IFERROR(INDEX(Data!C:C, MATCH($E42, Data!$B:$B, 0)), "")</f>
        <v>5.48</v>
      </c>
      <c r="G42" s="9">
        <f t="array" ref="G42">IFERROR(INDEX(Data!D:D, MATCH($E42, Data!$B:$B, 0)), "")</f>
        <v>3.76</v>
      </c>
      <c r="H42" s="9">
        <f t="array" ref="H42">IFERROR(INDEX(Data!E:E, MATCH($E42, Data!$B:$B, 0)), "")</f>
        <v>8.15</v>
      </c>
      <c r="I42" s="9" t="str">
        <f t="shared" si="1"/>
        <v>#REF!</v>
      </c>
      <c r="J42" s="9" t="str">
        <f t="shared" si="2"/>
        <v>#REF!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12">
        <v>41.0</v>
      </c>
      <c r="B43" s="13">
        <v>41.0</v>
      </c>
      <c r="C43" s="9">
        <f t="array" ref="C43">IFERROR(INDEX(Data!F:F, MATCH($E43, Data!$B:$B, 0)), "")</f>
        <v>37</v>
      </c>
      <c r="D43" s="9">
        <f t="array" ref="D43">IFERROR(INDEX(Data!A:A, MATCH($E43, Data!$B:$B, 0)), "")</f>
        <v>884</v>
      </c>
      <c r="E43" s="9">
        <f>LARGE(Data!$B$2:$B1000,A43 )</f>
        <v>15.99</v>
      </c>
      <c r="F43" s="9">
        <f t="array" ref="F43">IFERROR(INDEX(Data!C:C, MATCH($E43, Data!$B:$B, 0)), "")</f>
        <v>2.93</v>
      </c>
      <c r="G43" s="9">
        <f t="array" ref="G43">IFERROR(INDEX(Data!D:D, MATCH($E43, Data!$B:$B, 0)), "")</f>
        <v>4.72</v>
      </c>
      <c r="H43" s="9">
        <f t="array" ref="H43">IFERROR(INDEX(Data!E:E, MATCH($E43, Data!$B:$B, 0)), "")</f>
        <v>8.34</v>
      </c>
      <c r="I43" s="9" t="str">
        <f t="shared" si="1"/>
        <v>#REF!</v>
      </c>
      <c r="J43" s="9" t="str">
        <f t="shared" si="2"/>
        <v>#REF!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12">
        <v>42.0</v>
      </c>
      <c r="B44" s="13">
        <v>42.0</v>
      </c>
      <c r="C44" s="9">
        <f t="array" ref="C44">IFERROR(INDEX(Data!F:F, MATCH($E44, Data!$B:$B, 0)), "")</f>
        <v>34</v>
      </c>
      <c r="D44" s="9">
        <f t="array" ref="D44">IFERROR(INDEX(Data!A:A, MATCH($E44, Data!$B:$B, 0)), "")</f>
        <v>545</v>
      </c>
      <c r="E44" s="9">
        <f>LARGE(Data!$B$2:$B1000,A44 )</f>
        <v>15.22</v>
      </c>
      <c r="F44" s="9">
        <f t="array" ref="F44">IFERROR(INDEX(Data!C:C, MATCH($E44, Data!$B:$B, 0)), "")</f>
        <v>5.44</v>
      </c>
      <c r="G44" s="9">
        <f t="array" ref="G44">IFERROR(INDEX(Data!D:D, MATCH($E44, Data!$B:$B, 0)), "")</f>
        <v>5.85</v>
      </c>
      <c r="H44" s="9">
        <f t="array" ref="H44">IFERROR(INDEX(Data!E:E, MATCH($E44, Data!$B:$B, 0)), "")</f>
        <v>3.92</v>
      </c>
      <c r="I44" s="9" t="str">
        <f t="shared" si="1"/>
        <v>#REF!</v>
      </c>
      <c r="J44" s="9" t="str">
        <f t="shared" si="2"/>
        <v>#REF!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12">
        <v>43.0</v>
      </c>
      <c r="B45" s="13">
        <v>43.0</v>
      </c>
      <c r="C45" s="9">
        <f t="array" ref="C45">IFERROR(INDEX(Data!F:F, MATCH($E45, Data!$B:$B, 0)), "")</f>
        <v>43</v>
      </c>
      <c r="D45" s="9">
        <f t="array" ref="D45">IFERROR(INDEX(Data!A:A, MATCH($E45, Data!$B:$B, 0)), "")</f>
        <v>4567</v>
      </c>
      <c r="E45" s="9">
        <f>LARGE(Data!$B$2:$B1000,A45 )</f>
        <v>11.72</v>
      </c>
      <c r="F45" s="9">
        <f t="array" ref="F45">IFERROR(INDEX(Data!C:C, MATCH($E45, Data!$B:$B, 0)), "")</f>
        <v>4.35</v>
      </c>
      <c r="G45" s="9">
        <f t="array" ref="G45">IFERROR(INDEX(Data!D:D, MATCH($E45, Data!$B:$B, 0)), "")</f>
        <v>5.12</v>
      </c>
      <c r="H45" s="9">
        <f t="array" ref="H45">IFERROR(INDEX(Data!E:E, MATCH($E45, Data!$B:$B, 0)), "")</f>
        <v>2.25</v>
      </c>
      <c r="I45" s="9" t="str">
        <f t="shared" si="1"/>
        <v>#REF!</v>
      </c>
      <c r="J45" s="9" t="str">
        <f t="shared" si="2"/>
        <v>#REF!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12">
        <v>44.0</v>
      </c>
      <c r="B46" s="13">
        <v>44.0</v>
      </c>
      <c r="C46" s="9">
        <f t="array" ref="C46">IFERROR(INDEX(Data!F:F, MATCH($E46, Data!$B:$B, 0)), "")</f>
        <v>45</v>
      </c>
      <c r="D46" s="9">
        <f t="array" ref="D46">IFERROR(INDEX(Data!A:A, MATCH($E46, Data!$B:$B, 0)), "")</f>
        <v>2487</v>
      </c>
      <c r="E46" s="9">
        <f>LARGE(Data!$B$2:$B1000,A46 )</f>
        <v>11.38</v>
      </c>
      <c r="F46" s="9">
        <f t="array" ref="F46">IFERROR(INDEX(Data!C:C, MATCH($E46, Data!$B:$B, 0)), "")</f>
        <v>1.99</v>
      </c>
      <c r="G46" s="9">
        <f t="array" ref="G46">IFERROR(INDEX(Data!D:D, MATCH($E46, Data!$B:$B, 0)), "")</f>
        <v>4.77</v>
      </c>
      <c r="H46" s="9">
        <f t="array" ref="H46">IFERROR(INDEX(Data!E:E, MATCH($E46, Data!$B:$B, 0)), "")</f>
        <v>4.62</v>
      </c>
      <c r="I46" s="9" t="str">
        <f t="shared" si="1"/>
        <v>#REF!</v>
      </c>
      <c r="J46" s="9" t="str">
        <f t="shared" si="2"/>
        <v>#REF!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12">
        <v>45.0</v>
      </c>
      <c r="B47" s="13">
        <v>45.0</v>
      </c>
      <c r="C47" s="9">
        <f t="array" ref="C47">IFERROR(INDEX(Data!F:F, MATCH($E47, Data!$B:$B, 0)), "")</f>
        <v>30</v>
      </c>
      <c r="D47" s="9">
        <f t="array" ref="D47">IFERROR(INDEX(Data!A:A, MATCH($E47, Data!$B:$B, 0)), "")</f>
        <v>569</v>
      </c>
      <c r="E47" s="9">
        <f>LARGE(Data!$B$2:$B1000,A47 )</f>
        <v>9.39</v>
      </c>
      <c r="F47" s="9">
        <f t="array" ref="F47">IFERROR(INDEX(Data!C:C, MATCH($E47, Data!$B:$B, 0)), "")</f>
        <v>8.55</v>
      </c>
      <c r="G47" s="9">
        <f t="array" ref="G47">IFERROR(INDEX(Data!D:D, MATCH($E47, Data!$B:$B, 0)), "")</f>
        <v>0.85</v>
      </c>
      <c r="H47" s="9">
        <f t="array" ref="H47">IFERROR(INDEX(Data!E:E, MATCH($E47, Data!$B:$B, 0)), "")</f>
        <v>-0.01</v>
      </c>
      <c r="I47" s="9" t="str">
        <f t="shared" si="1"/>
        <v>#REF!</v>
      </c>
      <c r="J47" s="9" t="str">
        <f t="shared" si="2"/>
        <v>#REF!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12">
        <v>46.0</v>
      </c>
      <c r="B48" s="13">
        <v>46.0</v>
      </c>
      <c r="C48" s="9">
        <f t="array" ref="C48">IFERROR(INDEX(Data!F:F, MATCH($E48, Data!$B:$B, 0)), "")</f>
        <v>39</v>
      </c>
      <c r="D48" s="9">
        <f t="array" ref="D48">IFERROR(INDEX(Data!A:A, MATCH($E48, Data!$B:$B, 0)), "")</f>
        <v>514</v>
      </c>
      <c r="E48" s="9">
        <f>LARGE(Data!$B$2:$B1000,A48 )</f>
        <v>9.13</v>
      </c>
      <c r="F48" s="9">
        <f t="array" ref="F48">IFERROR(INDEX(Data!C:C, MATCH($E48, Data!$B:$B, 0)), "")</f>
        <v>9.17</v>
      </c>
      <c r="G48" s="9">
        <f t="array" ref="G48">IFERROR(INDEX(Data!D:D, MATCH($E48, Data!$B:$B, 0)), "")</f>
        <v>0.81</v>
      </c>
      <c r="H48" s="9">
        <f t="array" ref="H48">IFERROR(INDEX(Data!E:E, MATCH($E48, Data!$B:$B, 0)), "")</f>
        <v>-0.85</v>
      </c>
      <c r="I48" s="9" t="str">
        <f t="shared" si="1"/>
        <v>#REF!</v>
      </c>
      <c r="J48" s="9" t="str">
        <f t="shared" si="2"/>
        <v>#REF!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12">
        <v>47.0</v>
      </c>
      <c r="B49" s="13">
        <v>47.0</v>
      </c>
      <c r="C49" s="9">
        <f t="array" ref="C49">IFERROR(INDEX(Data!F:F, MATCH($E49, Data!$B:$B, 0)), "")</f>
        <v>40</v>
      </c>
      <c r="D49" s="9">
        <f t="array" ref="D49">IFERROR(INDEX(Data!A:A, MATCH($E49, Data!$B:$B, 0)), "")</f>
        <v>806</v>
      </c>
      <c r="E49" s="9">
        <f>LARGE(Data!$B$2:$B1000,A49 )</f>
        <v>8.61</v>
      </c>
      <c r="F49" s="9">
        <f t="array" ref="F49">IFERROR(INDEX(Data!C:C, MATCH($E49, Data!$B:$B, 0)), "")</f>
        <v>4.13</v>
      </c>
      <c r="G49" s="9">
        <f t="array" ref="G49">IFERROR(INDEX(Data!D:D, MATCH($E49, Data!$B:$B, 0)), "")</f>
        <v>3.71</v>
      </c>
      <c r="H49" s="9">
        <f t="array" ref="H49">IFERROR(INDEX(Data!E:E, MATCH($E49, Data!$B:$B, 0)), "")</f>
        <v>0.77</v>
      </c>
      <c r="I49" s="9" t="str">
        <f t="shared" si="1"/>
        <v>#REF!</v>
      </c>
      <c r="J49" s="9" t="str">
        <f t="shared" si="2"/>
        <v>#REF!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12">
        <v>48.0</v>
      </c>
      <c r="B50" s="13">
        <v>48.0</v>
      </c>
      <c r="C50" s="9">
        <f t="array" ref="C50">IFERROR(INDEX(Data!F:F, MATCH($E50, Data!$B:$B, 0)), "")</f>
        <v>47</v>
      </c>
      <c r="D50" s="9">
        <f t="array" ref="D50">IFERROR(INDEX(Data!A:A, MATCH($E50, Data!$B:$B, 0)), "")</f>
        <v>601</v>
      </c>
      <c r="E50" s="9">
        <f>LARGE(Data!$B$2:$B1000,A50 )</f>
        <v>5.46</v>
      </c>
      <c r="F50" s="9">
        <f t="array" ref="F50">IFERROR(INDEX(Data!C:C, MATCH($E50, Data!$B:$B, 0)), "")</f>
        <v>2.65</v>
      </c>
      <c r="G50" s="9">
        <f t="array" ref="G50">IFERROR(INDEX(Data!D:D, MATCH($E50, Data!$B:$B, 0)), "")</f>
        <v>-0.19</v>
      </c>
      <c r="H50" s="9">
        <f t="array" ref="H50">IFERROR(INDEX(Data!E:E, MATCH($E50, Data!$B:$B, 0)), "")</f>
        <v>3</v>
      </c>
      <c r="I50" s="9" t="str">
        <f t="shared" si="1"/>
        <v>#REF!</v>
      </c>
      <c r="J50" s="9" t="str">
        <f t="shared" si="2"/>
        <v>#REF!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12">
        <v>49.0</v>
      </c>
      <c r="B51" s="13">
        <v>49.0</v>
      </c>
      <c r="C51" s="9" t="str">
        <f t="array" ref="C51">IFERROR(INDEX(Data!F:F, MATCH($E51, Data!$B:$B, 0)), "")</f>
        <v/>
      </c>
      <c r="D51" s="9" t="str">
        <f t="array" ref="D51">IFERROR(INDEX(Data!A:A, MATCH($E51, Data!$B:$B, 0)), "")</f>
        <v/>
      </c>
      <c r="E51" s="9" t="str">
        <f>LARGE(Data!$B$2:$B1000,A51 )</f>
        <v>#NUM!</v>
      </c>
      <c r="F51" s="9" t="str">
        <f t="array" ref="F51">IFERROR(INDEX(Data!C:C, MATCH($E51, Data!$B:$B, 0)), "")</f>
        <v/>
      </c>
      <c r="G51" s="9" t="str">
        <f t="array" ref="G51">IFERROR(INDEX(Data!D:D, MATCH($E51, Data!$B:$B, 0)), "")</f>
        <v/>
      </c>
      <c r="H51" s="9" t="str">
        <f t="array" ref="H51">IFERROR(INDEX(Data!E:E, MATCH($E51, Data!$B:$B, 0)), "")</f>
        <v/>
      </c>
      <c r="I51" s="9" t="str">
        <f t="shared" si="1"/>
        <v/>
      </c>
      <c r="J51" s="9" t="str">
        <f t="shared" si="2"/>
        <v>#REF!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12">
        <v>50.0</v>
      </c>
      <c r="B52" s="13">
        <v>50.0</v>
      </c>
      <c r="C52" s="9" t="str">
        <f t="array" ref="C52">IFERROR(INDEX(Data!F:F, MATCH($E52, Data!$B:$B, 0)), "")</f>
        <v/>
      </c>
      <c r="D52" s="9" t="str">
        <f t="array" ref="D52">IFERROR(INDEX(Data!A:A, MATCH($E52, Data!$B:$B, 0)), "")</f>
        <v/>
      </c>
      <c r="E52" s="9" t="str">
        <f>LARGE(Data!$B$2:$B1000,A52 )</f>
        <v>#NUM!</v>
      </c>
      <c r="F52" s="9" t="str">
        <f t="array" ref="F52">IFERROR(INDEX(Data!C:C, MATCH($E52, Data!$B:$B, 0)), "")</f>
        <v/>
      </c>
      <c r="G52" s="9" t="str">
        <f t="array" ref="G52">IFERROR(INDEX(Data!D:D, MATCH($E52, Data!$B:$B, 0)), "")</f>
        <v/>
      </c>
      <c r="H52" s="9" t="str">
        <f t="array" ref="H52">IFERROR(INDEX(Data!E:E, MATCH($E52, Data!$B:$B, 0)), "")</f>
        <v/>
      </c>
      <c r="I52" s="9" t="str">
        <f t="shared" si="1"/>
        <v/>
      </c>
      <c r="J52" s="9" t="str">
        <f t="shared" si="2"/>
        <v>#REF!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12">
        <v>51.0</v>
      </c>
      <c r="B53" s="13">
        <v>51.0</v>
      </c>
      <c r="C53" s="9" t="str">
        <f t="array" ref="C53">IFERROR(INDEX(Data!F:F, MATCH($E53, Data!$B:$B, 0)), "")</f>
        <v/>
      </c>
      <c r="D53" s="9" t="str">
        <f t="array" ref="D53">IFERROR(INDEX(Data!A:A, MATCH($E53, Data!$B:$B, 0)), "")</f>
        <v/>
      </c>
      <c r="E53" s="9" t="str">
        <f>LARGE(Data!$B$2:$B1000,A53 )</f>
        <v>#NUM!</v>
      </c>
      <c r="F53" s="9" t="str">
        <f t="array" ref="F53">IFERROR(INDEX(Data!C:C, MATCH($E53, Data!$B:$B, 0)), "")</f>
        <v/>
      </c>
      <c r="G53" s="9" t="str">
        <f t="array" ref="G53">IFERROR(INDEX(Data!D:D, MATCH($E53, Data!$B:$B, 0)), "")</f>
        <v/>
      </c>
      <c r="H53" s="9" t="str">
        <f t="array" ref="H53">IFERROR(INDEX(Data!E:E, MATCH($E53, Data!$B:$B, 0)), "")</f>
        <v/>
      </c>
      <c r="I53" s="9" t="str">
        <f t="shared" si="1"/>
        <v/>
      </c>
      <c r="J53" s="9" t="str">
        <f t="shared" si="2"/>
        <v>#REF!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12">
        <v>52.0</v>
      </c>
      <c r="B54" s="13">
        <v>52.0</v>
      </c>
      <c r="C54" s="9" t="str">
        <f t="array" ref="C54">IFERROR(INDEX(Data!F:F, MATCH($E54, Data!$B:$B, 0)), "")</f>
        <v/>
      </c>
      <c r="D54" s="9" t="str">
        <f t="array" ref="D54">IFERROR(INDEX(Data!A:A, MATCH($E54, Data!$B:$B, 0)), "")</f>
        <v/>
      </c>
      <c r="E54" s="9" t="str">
        <f>LARGE(Data!$B$2:$B1000,A54 )</f>
        <v>#NUM!</v>
      </c>
      <c r="F54" s="9" t="str">
        <f t="array" ref="F54">IFERROR(INDEX(Data!C:C, MATCH($E54, Data!$B:$B, 0)), "")</f>
        <v/>
      </c>
      <c r="G54" s="9" t="str">
        <f t="array" ref="G54">IFERROR(INDEX(Data!D:D, MATCH($E54, Data!$B:$B, 0)), "")</f>
        <v/>
      </c>
      <c r="H54" s="9" t="str">
        <f t="array" ref="H54">IFERROR(INDEX(Data!E:E, MATCH($E54, Data!$B:$B, 0)), "")</f>
        <v/>
      </c>
      <c r="I54" s="9" t="str">
        <f t="shared" si="1"/>
        <v/>
      </c>
      <c r="J54" s="9" t="str">
        <f t="shared" si="2"/>
        <v>#REF!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12">
        <v>53.0</v>
      </c>
      <c r="B55" s="13">
        <v>53.0</v>
      </c>
      <c r="C55" s="9" t="str">
        <f t="array" ref="C55">IFERROR(INDEX(Data!F:F, MATCH($E55, Data!$B:$B, 0)), "")</f>
        <v/>
      </c>
      <c r="D55" s="9" t="str">
        <f t="array" ref="D55">IFERROR(INDEX(Data!A:A, MATCH($E55, Data!$B:$B, 0)), "")</f>
        <v/>
      </c>
      <c r="E55" s="9" t="str">
        <f>LARGE(Data!$B$2:$B1000,A55 )</f>
        <v>#NUM!</v>
      </c>
      <c r="F55" s="9" t="str">
        <f t="array" ref="F55">IFERROR(INDEX(Data!C:C, MATCH($E55, Data!$B:$B, 0)), "")</f>
        <v/>
      </c>
      <c r="G55" s="9" t="str">
        <f t="array" ref="G55">IFERROR(INDEX(Data!D:D, MATCH($E55, Data!$B:$B, 0)), "")</f>
        <v/>
      </c>
      <c r="H55" s="9" t="str">
        <f t="array" ref="H55">IFERROR(INDEX(Data!E:E, MATCH($E55, Data!$B:$B, 0)), "")</f>
        <v/>
      </c>
      <c r="I55" s="9" t="str">
        <f t="shared" si="1"/>
        <v/>
      </c>
      <c r="J55" s="9" t="str">
        <f t="shared" si="2"/>
        <v>#REF!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12">
        <v>54.0</v>
      </c>
      <c r="B56" s="13">
        <v>54.0</v>
      </c>
      <c r="C56" s="9" t="str">
        <f t="array" ref="C56">IFERROR(INDEX(Data!F:F, MATCH($E56, Data!$B:$B, 0)), "")</f>
        <v/>
      </c>
      <c r="D56" s="9" t="str">
        <f t="array" ref="D56">IFERROR(INDEX(Data!A:A, MATCH($E56, Data!$B:$B, 0)), "")</f>
        <v/>
      </c>
      <c r="E56" s="9" t="str">
        <f>LARGE(Data!$B$2:$B1000,A56 )</f>
        <v>#NUM!</v>
      </c>
      <c r="F56" s="9" t="str">
        <f t="array" ref="F56">IFERROR(INDEX(Data!C:C, MATCH($E56, Data!$B:$B, 0)), "")</f>
        <v/>
      </c>
      <c r="G56" s="9" t="str">
        <f t="array" ref="G56">IFERROR(INDEX(Data!D:D, MATCH($E56, Data!$B:$B, 0)), "")</f>
        <v/>
      </c>
      <c r="H56" s="9" t="str">
        <f t="array" ref="H56">IFERROR(INDEX(Data!E:E, MATCH($E56, Data!$B:$B, 0)), "")</f>
        <v/>
      </c>
      <c r="I56" s="9" t="str">
        <f t="shared" si="1"/>
        <v/>
      </c>
      <c r="J56" s="9" t="str">
        <f t="shared" si="2"/>
        <v>#REF!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12">
        <v>55.0</v>
      </c>
      <c r="B57" s="13">
        <v>55.0</v>
      </c>
      <c r="C57" s="9" t="str">
        <f t="array" ref="C57">IFERROR(INDEX(Data!F:F, MATCH($E57, Data!$B:$B, 0)), "")</f>
        <v/>
      </c>
      <c r="D57" s="9" t="str">
        <f t="array" ref="D57">IFERROR(INDEX(Data!A:A, MATCH($E57, Data!$B:$B, 0)), "")</f>
        <v/>
      </c>
      <c r="E57" s="9" t="str">
        <f>LARGE(Data!$B$2:$B1000,A57 )</f>
        <v>#NUM!</v>
      </c>
      <c r="F57" s="9" t="str">
        <f t="array" ref="F57">IFERROR(INDEX(Data!C:C, MATCH($E57, Data!$B:$B, 0)), "")</f>
        <v/>
      </c>
      <c r="G57" s="9" t="str">
        <f t="array" ref="G57">IFERROR(INDEX(Data!D:D, MATCH($E57, Data!$B:$B, 0)), "")</f>
        <v/>
      </c>
      <c r="H57" s="9" t="str">
        <f t="array" ref="H57">IFERROR(INDEX(Data!E:E, MATCH($E57, Data!$B:$B, 0)), "")</f>
        <v/>
      </c>
      <c r="I57" s="9" t="str">
        <f t="shared" si="1"/>
        <v/>
      </c>
      <c r="J57" s="9" t="str">
        <f t="shared" si="2"/>
        <v>#REF!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12">
        <v>56.0</v>
      </c>
      <c r="B58" s="13">
        <v>56.0</v>
      </c>
      <c r="C58" s="9" t="str">
        <f t="array" ref="C58">IFERROR(INDEX(Data!F:F, MATCH($E58, Data!$B:$B, 0)), "")</f>
        <v/>
      </c>
      <c r="D58" s="9" t="str">
        <f t="array" ref="D58">IFERROR(INDEX(Data!A:A, MATCH($E58, Data!$B:$B, 0)), "")</f>
        <v/>
      </c>
      <c r="E58" s="9" t="str">
        <f>LARGE(Data!$B$2:$B1000,A58 )</f>
        <v>#NUM!</v>
      </c>
      <c r="F58" s="9" t="str">
        <f t="array" ref="F58">IFERROR(INDEX(Data!C:C, MATCH($E58, Data!$B:$B, 0)), "")</f>
        <v/>
      </c>
      <c r="G58" s="9" t="str">
        <f t="array" ref="G58">IFERROR(INDEX(Data!D:D, MATCH($E58, Data!$B:$B, 0)), "")</f>
        <v/>
      </c>
      <c r="H58" s="9" t="str">
        <f t="array" ref="H58">IFERROR(INDEX(Data!E:E, MATCH($E58, Data!$B:$B, 0)), "")</f>
        <v/>
      </c>
      <c r="I58" s="9" t="str">
        <f t="shared" si="1"/>
        <v/>
      </c>
      <c r="J58" s="9" t="str">
        <f t="shared" si="2"/>
        <v>#REF!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12">
        <v>57.0</v>
      </c>
      <c r="B59" s="13">
        <v>57.0</v>
      </c>
      <c r="C59" s="9" t="str">
        <f t="array" ref="C59">IFERROR(INDEX(Data!F:F, MATCH($E59, Data!$B:$B, 0)), "")</f>
        <v/>
      </c>
      <c r="D59" s="9" t="str">
        <f t="array" ref="D59">IFERROR(INDEX(Data!A:A, MATCH($E59, Data!$B:$B, 0)), "")</f>
        <v/>
      </c>
      <c r="E59" s="9" t="str">
        <f>LARGE(Data!$B$2:$B1000,A59 )</f>
        <v>#NUM!</v>
      </c>
      <c r="F59" s="9" t="str">
        <f t="array" ref="F59">IFERROR(INDEX(Data!C:C, MATCH($E59, Data!$B:$B, 0)), "")</f>
        <v/>
      </c>
      <c r="G59" s="9" t="str">
        <f t="array" ref="G59">IFERROR(INDEX(Data!D:D, MATCH($E59, Data!$B:$B, 0)), "")</f>
        <v/>
      </c>
      <c r="H59" s="9" t="str">
        <f t="array" ref="H59">IFERROR(INDEX(Data!E:E, MATCH($E59, Data!$B:$B, 0)), "")</f>
        <v/>
      </c>
      <c r="I59" s="9" t="str">
        <f t="shared" si="1"/>
        <v/>
      </c>
      <c r="J59" s="9" t="str">
        <f t="shared" si="2"/>
        <v>#REF!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12">
        <v>58.0</v>
      </c>
      <c r="B60" s="13">
        <v>58.0</v>
      </c>
      <c r="C60" s="9" t="str">
        <f t="array" ref="C60">IFERROR(INDEX(Data!F:F, MATCH($E60, Data!$B:$B, 0)), "")</f>
        <v/>
      </c>
      <c r="D60" s="9" t="str">
        <f t="array" ref="D60">IFERROR(INDEX(Data!A:A, MATCH($E60, Data!$B:$B, 0)), "")</f>
        <v/>
      </c>
      <c r="E60" s="9" t="str">
        <f>LARGE(Data!$B$2:$B1000,A60 )</f>
        <v>#NUM!</v>
      </c>
      <c r="F60" s="9" t="str">
        <f t="array" ref="F60">IFERROR(INDEX(Data!C:C, MATCH($E60, Data!$B:$B, 0)), "")</f>
        <v/>
      </c>
      <c r="G60" s="9" t="str">
        <f t="array" ref="G60">IFERROR(INDEX(Data!D:D, MATCH($E60, Data!$B:$B, 0)), "")</f>
        <v/>
      </c>
      <c r="H60" s="9" t="str">
        <f t="array" ref="H60">IFERROR(INDEX(Data!E:E, MATCH($E60, Data!$B:$B, 0)), "")</f>
        <v/>
      </c>
      <c r="I60" s="9" t="str">
        <f t="shared" si="1"/>
        <v/>
      </c>
      <c r="J60" s="9" t="str">
        <f t="shared" si="2"/>
        <v>#REF!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12">
        <v>59.0</v>
      </c>
      <c r="B61" s="13">
        <v>59.0</v>
      </c>
      <c r="C61" s="9" t="str">
        <f t="array" ref="C61">IFERROR(INDEX(Data!F:F, MATCH($E61, Data!$B:$B, 0)), "")</f>
        <v/>
      </c>
      <c r="D61" s="9" t="str">
        <f t="array" ref="D61">IFERROR(INDEX(Data!A:A, MATCH($E61, Data!$B:$B, 0)), "")</f>
        <v/>
      </c>
      <c r="E61" s="9" t="str">
        <f>LARGE(Data!$B$2:$B1000,A61 )</f>
        <v>#NUM!</v>
      </c>
      <c r="F61" s="9" t="str">
        <f t="array" ref="F61">IFERROR(INDEX(Data!C:C, MATCH($E61, Data!$B:$B, 0)), "")</f>
        <v/>
      </c>
      <c r="G61" s="9" t="str">
        <f t="array" ref="G61">IFERROR(INDEX(Data!D:D, MATCH($E61, Data!$B:$B, 0)), "")</f>
        <v/>
      </c>
      <c r="H61" s="9" t="str">
        <f t="array" ref="H61">IFERROR(INDEX(Data!E:E, MATCH($E61, Data!$B:$B, 0)), "")</f>
        <v/>
      </c>
      <c r="I61" s="9" t="str">
        <f t="shared" si="1"/>
        <v/>
      </c>
      <c r="J61" s="9" t="str">
        <f t="shared" si="2"/>
        <v>#REF!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12">
        <v>60.0</v>
      </c>
      <c r="B62" s="13">
        <v>60.0</v>
      </c>
      <c r="C62" s="9" t="str">
        <f t="array" ref="C62">IFERROR(INDEX(Data!F:F, MATCH($E62, Data!$B:$B, 0)), "")</f>
        <v/>
      </c>
      <c r="D62" s="9" t="str">
        <f t="array" ref="D62">IFERROR(INDEX(Data!A:A, MATCH($E62, Data!$B:$B, 0)), "")</f>
        <v/>
      </c>
      <c r="E62" s="9" t="str">
        <f>LARGE(Data!$B$2:$B1000,A62 )</f>
        <v>#NUM!</v>
      </c>
      <c r="F62" s="9" t="str">
        <f t="array" ref="F62">IFERROR(INDEX(Data!C:C, MATCH($E62, Data!$B:$B, 0)), "")</f>
        <v/>
      </c>
      <c r="G62" s="9" t="str">
        <f t="array" ref="G62">IFERROR(INDEX(Data!D:D, MATCH($E62, Data!$B:$B, 0)), "")</f>
        <v/>
      </c>
      <c r="H62" s="9" t="str">
        <f t="array" ref="H62">IFERROR(INDEX(Data!E:E, MATCH($E62, Data!$B:$B, 0)), "")</f>
        <v/>
      </c>
      <c r="I62" s="9" t="str">
        <f t="shared" si="1"/>
        <v/>
      </c>
      <c r="J62" s="9" t="str">
        <f t="shared" si="2"/>
        <v>#REF!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12">
        <v>61.0</v>
      </c>
      <c r="B63" s="13">
        <v>61.0</v>
      </c>
      <c r="C63" s="9" t="str">
        <f t="array" ref="C63">IFERROR(INDEX(Data!F:F, MATCH($E63, Data!$B:$B, 0)), "")</f>
        <v/>
      </c>
      <c r="D63" s="9" t="str">
        <f t="array" ref="D63">IFERROR(INDEX(Data!A:A, MATCH($E63, Data!$B:$B, 0)), "")</f>
        <v/>
      </c>
      <c r="E63" s="9" t="str">
        <f>LARGE(Data!$B$2:$B1000,A63 )</f>
        <v>#NUM!</v>
      </c>
      <c r="F63" s="9" t="str">
        <f t="array" ref="F63">IFERROR(INDEX(Data!C:C, MATCH($E63, Data!$B:$B, 0)), "")</f>
        <v/>
      </c>
      <c r="G63" s="9" t="str">
        <f t="array" ref="G63">IFERROR(INDEX(Data!D:D, MATCH($E63, Data!$B:$B, 0)), "")</f>
        <v/>
      </c>
      <c r="H63" s="9" t="str">
        <f t="array" ref="H63">IFERROR(INDEX(Data!E:E, MATCH($E63, Data!$B:$B, 0)), "")</f>
        <v/>
      </c>
      <c r="I63" s="9" t="str">
        <f t="shared" si="1"/>
        <v/>
      </c>
      <c r="J63" s="9" t="str">
        <f t="shared" si="2"/>
        <v>#REF!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12">
        <v>62.0</v>
      </c>
      <c r="B64" s="13">
        <v>62.0</v>
      </c>
      <c r="C64" s="9" t="str">
        <f t="array" ref="C64">IFERROR(INDEX(Data!F:F, MATCH($E64, Data!$B:$B, 0)), "")</f>
        <v/>
      </c>
      <c r="D64" s="9" t="str">
        <f t="array" ref="D64">IFERROR(INDEX(Data!A:A, MATCH($E64, Data!$B:$B, 0)), "")</f>
        <v/>
      </c>
      <c r="E64" s="9" t="str">
        <f>LARGE(Data!$B$2:$B1000,A64 )</f>
        <v>#NUM!</v>
      </c>
      <c r="F64" s="9" t="str">
        <f t="array" ref="F64">IFERROR(INDEX(Data!C:C, MATCH($E64, Data!$B:$B, 0)), "")</f>
        <v/>
      </c>
      <c r="G64" s="9" t="str">
        <f t="array" ref="G64">IFERROR(INDEX(Data!D:D, MATCH($E64, Data!$B:$B, 0)), "")</f>
        <v/>
      </c>
      <c r="H64" s="9" t="str">
        <f t="array" ref="H64">IFERROR(INDEX(Data!E:E, MATCH($E64, Data!$B:$B, 0)), "")</f>
        <v/>
      </c>
      <c r="I64" s="9" t="str">
        <f t="shared" si="1"/>
        <v/>
      </c>
      <c r="J64" s="9" t="str">
        <f t="shared" si="2"/>
        <v>#REF!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12">
        <v>63.0</v>
      </c>
      <c r="B65" s="13">
        <v>63.0</v>
      </c>
      <c r="C65" s="9" t="str">
        <f t="array" ref="C65">IFERROR(INDEX(Data!F:F, MATCH($E65, Data!$B:$B, 0)), "")</f>
        <v/>
      </c>
      <c r="D65" s="9" t="str">
        <f t="array" ref="D65">IFERROR(INDEX(Data!A:A, MATCH($E65, Data!$B:$B, 0)), "")</f>
        <v/>
      </c>
      <c r="E65" s="9" t="str">
        <f>LARGE(Data!$B$2:$B1000,A65 )</f>
        <v>#NUM!</v>
      </c>
      <c r="F65" s="9" t="str">
        <f t="array" ref="F65">IFERROR(INDEX(Data!C:C, MATCH($E65, Data!$B:$B, 0)), "")</f>
        <v/>
      </c>
      <c r="G65" s="9" t="str">
        <f t="array" ref="G65">IFERROR(INDEX(Data!D:D, MATCH($E65, Data!$B:$B, 0)), "")</f>
        <v/>
      </c>
      <c r="H65" s="9" t="str">
        <f t="array" ref="H65">IFERROR(INDEX(Data!E:E, MATCH($E65, Data!$B:$B, 0)), "")</f>
        <v/>
      </c>
      <c r="I65" s="9" t="str">
        <f t="shared" si="1"/>
        <v/>
      </c>
      <c r="J65" s="9" t="str">
        <f t="shared" si="2"/>
        <v>#REF!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12">
        <v>64.0</v>
      </c>
      <c r="B66" s="13">
        <v>64.0</v>
      </c>
      <c r="C66" s="9" t="str">
        <f t="array" ref="C66">IFERROR(INDEX(Data!F:F, MATCH($E66, Data!$B:$B, 0)), "")</f>
        <v/>
      </c>
      <c r="D66" s="9" t="str">
        <f t="array" ref="D66">IFERROR(INDEX(Data!A:A, MATCH($E66, Data!$B:$B, 0)), "")</f>
        <v/>
      </c>
      <c r="E66" s="9" t="str">
        <f>LARGE(Data!$B$2:$B1000,A66 )</f>
        <v>#NUM!</v>
      </c>
      <c r="F66" s="9" t="str">
        <f t="array" ref="F66">IFERROR(INDEX(Data!C:C, MATCH($E66, Data!$B:$B, 0)), "")</f>
        <v/>
      </c>
      <c r="G66" s="9" t="str">
        <f t="array" ref="G66">IFERROR(INDEX(Data!D:D, MATCH($E66, Data!$B:$B, 0)), "")</f>
        <v/>
      </c>
      <c r="H66" s="9" t="str">
        <f t="array" ref="H66">IFERROR(INDEX(Data!E:E, MATCH($E66, Data!$B:$B, 0)), "")</f>
        <v/>
      </c>
      <c r="I66" s="9" t="str">
        <f t="shared" si="1"/>
        <v/>
      </c>
      <c r="J66" s="9" t="str">
        <f t="shared" si="2"/>
        <v>#REF!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12">
        <v>65.0</v>
      </c>
      <c r="B67" s="13">
        <v>65.0</v>
      </c>
      <c r="C67" s="9" t="str">
        <f t="array" ref="C67">IFERROR(INDEX(Data!F:F, MATCH($E67, Data!$B:$B, 0)), "")</f>
        <v/>
      </c>
      <c r="D67" s="9" t="str">
        <f t="array" ref="D67">IFERROR(INDEX(Data!A:A, MATCH($E67, Data!$B:$B, 0)), "")</f>
        <v/>
      </c>
      <c r="E67" s="9" t="str">
        <f>LARGE(Data!$B$2:$B1000,A67 )</f>
        <v>#NUM!</v>
      </c>
      <c r="F67" s="9" t="str">
        <f t="array" ref="F67">IFERROR(INDEX(Data!C:C, MATCH($E67, Data!$B:$B, 0)), "")</f>
        <v/>
      </c>
      <c r="G67" s="9" t="str">
        <f t="array" ref="G67">IFERROR(INDEX(Data!D:D, MATCH($E67, Data!$B:$B, 0)), "")</f>
        <v/>
      </c>
      <c r="H67" s="9" t="str">
        <f t="array" ref="H67">IFERROR(INDEX(Data!E:E, MATCH($E67, Data!$B:$B, 0)), "")</f>
        <v/>
      </c>
      <c r="I67" s="9" t="str">
        <f t="shared" si="1"/>
        <v/>
      </c>
      <c r="J67" s="9" t="str">
        <f t="shared" si="2"/>
        <v>#REF!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12">
        <v>66.0</v>
      </c>
      <c r="B68" s="13">
        <v>66.0</v>
      </c>
      <c r="C68" s="9" t="str">
        <f t="array" ref="C68">IFERROR(INDEX(Data!F:F, MATCH($E68, Data!$B:$B, 0)), "")</f>
        <v/>
      </c>
      <c r="D68" s="9" t="str">
        <f t="array" ref="D68">IFERROR(INDEX(Data!A:A, MATCH($E68, Data!$B:$B, 0)), "")</f>
        <v/>
      </c>
      <c r="E68" s="9" t="str">
        <f>LARGE(Data!$B$2:$B1000,A68 )</f>
        <v>#NUM!</v>
      </c>
      <c r="F68" s="9" t="str">
        <f t="array" ref="F68">IFERROR(INDEX(Data!C:C, MATCH($E68, Data!$B:$B, 0)), "")</f>
        <v/>
      </c>
      <c r="G68" s="9" t="str">
        <f t="array" ref="G68">IFERROR(INDEX(Data!D:D, MATCH($E68, Data!$B:$B, 0)), "")</f>
        <v/>
      </c>
      <c r="H68" s="9" t="str">
        <f t="array" ref="H68">IFERROR(INDEX(Data!E:E, MATCH($E68, Data!$B:$B, 0)), "")</f>
        <v/>
      </c>
      <c r="I68" s="9" t="str">
        <f t="shared" si="1"/>
        <v/>
      </c>
      <c r="J68" s="9" t="str">
        <f t="shared" si="2"/>
        <v>#REF!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12">
        <v>67.0</v>
      </c>
      <c r="B69" s="13">
        <v>67.0</v>
      </c>
      <c r="C69" s="9" t="str">
        <f t="array" ref="C69">IFERROR(INDEX(Data!F:F, MATCH($E69, Data!$B:$B, 0)), "")</f>
        <v/>
      </c>
      <c r="D69" s="9" t="str">
        <f t="array" ref="D69">IFERROR(INDEX(Data!A:A, MATCH($E69, Data!$B:$B, 0)), "")</f>
        <v/>
      </c>
      <c r="E69" s="9" t="str">
        <f>LARGE(Data!$B$2:$B1000,A69 )</f>
        <v>#NUM!</v>
      </c>
      <c r="F69" s="9" t="str">
        <f t="array" ref="F69">IFERROR(INDEX(Data!C:C, MATCH($E69, Data!$B:$B, 0)), "")</f>
        <v/>
      </c>
      <c r="G69" s="9" t="str">
        <f t="array" ref="G69">IFERROR(INDEX(Data!D:D, MATCH($E69, Data!$B:$B, 0)), "")</f>
        <v/>
      </c>
      <c r="H69" s="9" t="str">
        <f t="array" ref="H69">IFERROR(INDEX(Data!E:E, MATCH($E69, Data!$B:$B, 0)), "")</f>
        <v/>
      </c>
      <c r="I69" s="9" t="str">
        <f t="shared" si="1"/>
        <v/>
      </c>
      <c r="J69" s="9" t="str">
        <f t="shared" si="2"/>
        <v>#REF!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12">
        <v>68.0</v>
      </c>
      <c r="B70" s="13">
        <v>68.0</v>
      </c>
      <c r="C70" s="9" t="str">
        <f t="array" ref="C70">IFERROR(INDEX(Data!F:F, MATCH($E70, Data!$B:$B, 0)), "")</f>
        <v/>
      </c>
      <c r="D70" s="9" t="str">
        <f t="array" ref="D70">IFERROR(INDEX(Data!A:A, MATCH($E70, Data!$B:$B, 0)), "")</f>
        <v/>
      </c>
      <c r="E70" s="9" t="str">
        <f>LARGE(Data!$B$2:$B1000,A70 )</f>
        <v>#NUM!</v>
      </c>
      <c r="F70" s="9" t="str">
        <f t="array" ref="F70">IFERROR(INDEX(Data!C:C, MATCH($E70, Data!$B:$B, 0)), "")</f>
        <v/>
      </c>
      <c r="G70" s="9" t="str">
        <f t="array" ref="G70">IFERROR(INDEX(Data!D:D, MATCH($E70, Data!$B:$B, 0)), "")</f>
        <v/>
      </c>
      <c r="H70" s="9" t="str">
        <f t="array" ref="H70">IFERROR(INDEX(Data!E:E, MATCH($E70, Data!$B:$B, 0)), "")</f>
        <v/>
      </c>
      <c r="I70" s="9" t="str">
        <f t="shared" si="1"/>
        <v/>
      </c>
      <c r="J70" s="9" t="str">
        <f t="shared" si="2"/>
        <v>#REF!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12">
        <v>69.0</v>
      </c>
      <c r="B71" s="13">
        <v>69.0</v>
      </c>
      <c r="C71" s="9" t="str">
        <f t="array" ref="C71">IFERROR(INDEX(Data!F:F, MATCH($E71, Data!$B:$B, 0)), "")</f>
        <v/>
      </c>
      <c r="D71" s="9" t="str">
        <f t="array" ref="D71">IFERROR(INDEX(Data!A:A, MATCH($E71, Data!$B:$B, 0)), "")</f>
        <v/>
      </c>
      <c r="E71" s="9" t="str">
        <f>LARGE(Data!$B$2:$B1000,A71 )</f>
        <v>#NUM!</v>
      </c>
      <c r="F71" s="9" t="str">
        <f t="array" ref="F71">IFERROR(INDEX(Data!C:C, MATCH($E71, Data!$B:$B, 0)), "")</f>
        <v/>
      </c>
      <c r="G71" s="9" t="str">
        <f t="array" ref="G71">IFERROR(INDEX(Data!D:D, MATCH($E71, Data!$B:$B, 0)), "")</f>
        <v/>
      </c>
      <c r="H71" s="9" t="str">
        <f t="array" ref="H71">IFERROR(INDEX(Data!E:E, MATCH($E71, Data!$B:$B, 0)), "")</f>
        <v/>
      </c>
      <c r="I71" s="9" t="str">
        <f t="shared" si="1"/>
        <v/>
      </c>
      <c r="J71" s="9" t="str">
        <f t="shared" si="2"/>
        <v>#REF!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12">
        <v>70.0</v>
      </c>
      <c r="B72" s="13">
        <v>70.0</v>
      </c>
      <c r="C72" s="9" t="str">
        <f t="array" ref="C72">IFERROR(INDEX(Data!F:F, MATCH($E72, Data!$B:$B, 0)), "")</f>
        <v/>
      </c>
      <c r="D72" s="9" t="str">
        <f t="array" ref="D72">IFERROR(INDEX(Data!A:A, MATCH($E72, Data!$B:$B, 0)), "")</f>
        <v/>
      </c>
      <c r="E72" s="9" t="str">
        <f>LARGE(Data!$B$2:$B1000,A72 )</f>
        <v>#NUM!</v>
      </c>
      <c r="F72" s="9" t="str">
        <f t="array" ref="F72">IFERROR(INDEX(Data!C:C, MATCH($E72, Data!$B:$B, 0)), "")</f>
        <v/>
      </c>
      <c r="G72" s="9" t="str">
        <f t="array" ref="G72">IFERROR(INDEX(Data!D:D, MATCH($E72, Data!$B:$B, 0)), "")</f>
        <v/>
      </c>
      <c r="H72" s="9" t="str">
        <f t="array" ref="H72">IFERROR(INDEX(Data!E:E, MATCH($E72, Data!$B:$B, 0)), "")</f>
        <v/>
      </c>
      <c r="I72" s="9" t="str">
        <f t="shared" si="1"/>
        <v/>
      </c>
      <c r="J72" s="9" t="str">
        <f t="shared" si="2"/>
        <v>#REF!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12">
        <v>71.0</v>
      </c>
      <c r="B73" s="13">
        <v>71.0</v>
      </c>
      <c r="C73" s="9" t="str">
        <f t="array" ref="C73">IFERROR(INDEX(Data!F:F, MATCH($E73, Data!$B:$B, 0)), "")</f>
        <v/>
      </c>
      <c r="D73" s="9" t="str">
        <f t="array" ref="D73">IFERROR(INDEX(Data!A:A, MATCH($E73, Data!$B:$B, 0)), "")</f>
        <v/>
      </c>
      <c r="E73" s="9" t="str">
        <f>LARGE(Data!$B$2:$B1000,A73 )</f>
        <v>#NUM!</v>
      </c>
      <c r="F73" s="9" t="str">
        <f t="array" ref="F73">IFERROR(INDEX(Data!C:C, MATCH($E73, Data!$B:$B, 0)), "")</f>
        <v/>
      </c>
      <c r="G73" s="9" t="str">
        <f t="array" ref="G73">IFERROR(INDEX(Data!D:D, MATCH($E73, Data!$B:$B, 0)), "")</f>
        <v/>
      </c>
      <c r="H73" s="9" t="str">
        <f t="array" ref="H73">IFERROR(INDEX(Data!E:E, MATCH($E73, Data!$B:$B, 0)), "")</f>
        <v/>
      </c>
      <c r="I73" s="9" t="str">
        <f t="shared" si="1"/>
        <v/>
      </c>
      <c r="J73" s="9" t="str">
        <f t="shared" si="2"/>
        <v>#REF!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12">
        <v>72.0</v>
      </c>
      <c r="B74" s="13">
        <v>72.0</v>
      </c>
      <c r="C74" s="9" t="str">
        <f t="array" ref="C74">IFERROR(INDEX(Data!F:F, MATCH($E74, Data!$B:$B, 0)), "")</f>
        <v/>
      </c>
      <c r="D74" s="9" t="str">
        <f t="array" ref="D74">IFERROR(INDEX(Data!A:A, MATCH($E74, Data!$B:$B, 0)), "")</f>
        <v/>
      </c>
      <c r="E74" s="9" t="str">
        <f>LARGE(Data!$B$2:$B1000,A74 )</f>
        <v>#NUM!</v>
      </c>
      <c r="F74" s="9" t="str">
        <f t="array" ref="F74">IFERROR(INDEX(Data!C:C, MATCH($E74, Data!$B:$B, 0)), "")</f>
        <v/>
      </c>
      <c r="G74" s="9" t="str">
        <f t="array" ref="G74">IFERROR(INDEX(Data!D:D, MATCH($E74, Data!$B:$B, 0)), "")</f>
        <v/>
      </c>
      <c r="H74" s="9" t="str">
        <f t="array" ref="H74">IFERROR(INDEX(Data!E:E, MATCH($E74, Data!$B:$B, 0)), "")</f>
        <v/>
      </c>
      <c r="I74" s="9" t="str">
        <f t="shared" si="1"/>
        <v/>
      </c>
      <c r="J74" s="9" t="str">
        <f t="shared" si="2"/>
        <v>#REF!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12">
        <v>73.0</v>
      </c>
      <c r="B75" s="13">
        <v>73.0</v>
      </c>
      <c r="C75" s="9" t="str">
        <f t="array" ref="C75">IFERROR(INDEX(Data!F:F, MATCH($E75, Data!$B:$B, 0)), "")</f>
        <v/>
      </c>
      <c r="D75" s="9" t="str">
        <f t="array" ref="D75">IFERROR(INDEX(Data!A:A, MATCH($E75, Data!$B:$B, 0)), "")</f>
        <v/>
      </c>
      <c r="E75" s="9" t="str">
        <f>LARGE(Data!$B$2:$B1000,A75 )</f>
        <v>#NUM!</v>
      </c>
      <c r="F75" s="9" t="str">
        <f t="array" ref="F75">IFERROR(INDEX(Data!C:C, MATCH($E75, Data!$B:$B, 0)), "")</f>
        <v/>
      </c>
      <c r="G75" s="9" t="str">
        <f t="array" ref="G75">IFERROR(INDEX(Data!D:D, MATCH($E75, Data!$B:$B, 0)), "")</f>
        <v/>
      </c>
      <c r="H75" s="9" t="str">
        <f t="array" ref="H75">IFERROR(INDEX(Data!E:E, MATCH($E75, Data!$B:$B, 0)), "")</f>
        <v/>
      </c>
      <c r="I75" s="9" t="str">
        <f t="shared" si="1"/>
        <v/>
      </c>
      <c r="J75" s="9" t="str">
        <f t="shared" si="2"/>
        <v>#REF!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12">
        <v>74.0</v>
      </c>
      <c r="B76" s="13">
        <v>74.0</v>
      </c>
      <c r="C76" s="9" t="str">
        <f t="array" ref="C76">IFERROR(INDEX(Data!F:F, MATCH($E76, Data!$B:$B, 0)), "")</f>
        <v/>
      </c>
      <c r="D76" s="9" t="str">
        <f t="array" ref="D76">IFERROR(INDEX(Data!A:A, MATCH($E76, Data!$B:$B, 0)), "")</f>
        <v/>
      </c>
      <c r="E76" s="9" t="str">
        <f>LARGE(Data!$B$2:$B1000,A76 )</f>
        <v>#NUM!</v>
      </c>
      <c r="F76" s="9" t="str">
        <f t="array" ref="F76">IFERROR(INDEX(Data!C:C, MATCH($E76, Data!$B:$B, 0)), "")</f>
        <v/>
      </c>
      <c r="G76" s="9" t="str">
        <f t="array" ref="G76">IFERROR(INDEX(Data!D:D, MATCH($E76, Data!$B:$B, 0)), "")</f>
        <v/>
      </c>
      <c r="H76" s="9" t="str">
        <f t="array" ref="H76">IFERROR(INDEX(Data!E:E, MATCH($E76, Data!$B:$B, 0)), "")</f>
        <v/>
      </c>
      <c r="I76" s="9" t="str">
        <f t="shared" si="1"/>
        <v/>
      </c>
      <c r="J76" s="9" t="str">
        <f t="shared" si="2"/>
        <v>#REF!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12">
        <v>75.0</v>
      </c>
      <c r="B77" s="13">
        <v>75.0</v>
      </c>
      <c r="C77" s="9" t="str">
        <f t="array" ref="C77">IFERROR(INDEX(Data!F:F, MATCH($E77, Data!$B:$B, 0)), "")</f>
        <v/>
      </c>
      <c r="D77" s="9" t="str">
        <f t="array" ref="D77">IFERROR(INDEX(Data!A:A, MATCH($E77, Data!$B:$B, 0)), "")</f>
        <v/>
      </c>
      <c r="E77" s="9" t="str">
        <f>LARGE(Data!$B$2:$B1000,A77 )</f>
        <v>#NUM!</v>
      </c>
      <c r="F77" s="9" t="str">
        <f t="array" ref="F77">IFERROR(INDEX(Data!C:C, MATCH($E77, Data!$B:$B, 0)), "")</f>
        <v/>
      </c>
      <c r="G77" s="9" t="str">
        <f t="array" ref="G77">IFERROR(INDEX(Data!D:D, MATCH($E77, Data!$B:$B, 0)), "")</f>
        <v/>
      </c>
      <c r="H77" s="9" t="str">
        <f t="array" ref="H77">IFERROR(INDEX(Data!E:E, MATCH($E77, Data!$B:$B, 0)), "")</f>
        <v/>
      </c>
      <c r="I77" s="9" t="str">
        <f t="shared" si="1"/>
        <v/>
      </c>
      <c r="J77" s="9" t="str">
        <f t="shared" si="2"/>
        <v>#REF!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12">
        <v>76.0</v>
      </c>
      <c r="B78" s="13">
        <v>76.0</v>
      </c>
      <c r="C78" s="9" t="str">
        <f t="array" ref="C78">IFERROR(INDEX(Data!F:F, MATCH($E78, Data!$B:$B, 0)), "")</f>
        <v/>
      </c>
      <c r="D78" s="9" t="str">
        <f t="array" ref="D78">IFERROR(INDEX(Data!A:A, MATCH($E78, Data!$B:$B, 0)), "")</f>
        <v/>
      </c>
      <c r="E78" s="9" t="str">
        <f>LARGE(Data!$B$2:$B1000,A78 )</f>
        <v>#NUM!</v>
      </c>
      <c r="F78" s="9" t="str">
        <f t="array" ref="F78">IFERROR(INDEX(Data!C:C, MATCH($E78, Data!$B:$B, 0)), "")</f>
        <v/>
      </c>
      <c r="G78" s="9" t="str">
        <f t="array" ref="G78">IFERROR(INDEX(Data!D:D, MATCH($E78, Data!$B:$B, 0)), "")</f>
        <v/>
      </c>
      <c r="H78" s="9" t="str">
        <f t="array" ref="H78">IFERROR(INDEX(Data!E:E, MATCH($E78, Data!$B:$B, 0)), "")</f>
        <v/>
      </c>
      <c r="I78" s="9" t="str">
        <f t="shared" si="1"/>
        <v/>
      </c>
      <c r="J78" s="9" t="str">
        <f t="shared" si="2"/>
        <v>#REF!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12">
        <v>77.0</v>
      </c>
      <c r="B79" s="13">
        <v>77.0</v>
      </c>
      <c r="C79" s="9" t="str">
        <f t="array" ref="C79">IFERROR(INDEX(Data!F:F, MATCH($E79, Data!$B:$B, 0)), "")</f>
        <v/>
      </c>
      <c r="D79" s="9" t="str">
        <f t="array" ref="D79">IFERROR(INDEX(Data!A:A, MATCH($E79, Data!$B:$B, 0)), "")</f>
        <v/>
      </c>
      <c r="E79" s="9" t="str">
        <f>LARGE(Data!$B$2:$B1000,A79 )</f>
        <v>#NUM!</v>
      </c>
      <c r="F79" s="9" t="str">
        <f t="array" ref="F79">IFERROR(INDEX(Data!C:C, MATCH($E79, Data!$B:$B, 0)), "")</f>
        <v/>
      </c>
      <c r="G79" s="9" t="str">
        <f t="array" ref="G79">IFERROR(INDEX(Data!D:D, MATCH($E79, Data!$B:$B, 0)), "")</f>
        <v/>
      </c>
      <c r="H79" s="9" t="str">
        <f t="array" ref="H79">IFERROR(INDEX(Data!E:E, MATCH($E79, Data!$B:$B, 0)), "")</f>
        <v/>
      </c>
      <c r="I79" s="9" t="str">
        <f t="shared" si="1"/>
        <v/>
      </c>
      <c r="J79" s="9" t="str">
        <f t="shared" si="2"/>
        <v>#REF!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12">
        <v>78.0</v>
      </c>
      <c r="B80" s="13">
        <v>78.0</v>
      </c>
      <c r="C80" s="9" t="str">
        <f t="array" ref="C80">IFERROR(INDEX(Data!F:F, MATCH($E80, Data!$B:$B, 0)), "")</f>
        <v/>
      </c>
      <c r="D80" s="9" t="str">
        <f t="array" ref="D80">IFERROR(INDEX(Data!A:A, MATCH($E80, Data!$B:$B, 0)), "")</f>
        <v/>
      </c>
      <c r="E80" s="9" t="str">
        <f>LARGE(Data!$B$2:$B1000,A80 )</f>
        <v>#NUM!</v>
      </c>
      <c r="F80" s="9" t="str">
        <f t="array" ref="F80">IFERROR(INDEX(Data!C:C, MATCH($E80, Data!$B:$B, 0)), "")</f>
        <v/>
      </c>
      <c r="G80" s="9" t="str">
        <f t="array" ref="G80">IFERROR(INDEX(Data!D:D, MATCH($E80, Data!$B:$B, 0)), "")</f>
        <v/>
      </c>
      <c r="H80" s="9" t="str">
        <f t="array" ref="H80">IFERROR(INDEX(Data!E:E, MATCH($E80, Data!$B:$B, 0)), "")</f>
        <v/>
      </c>
      <c r="I80" s="9" t="str">
        <f t="shared" si="1"/>
        <v/>
      </c>
      <c r="J80" s="9" t="str">
        <f t="shared" si="2"/>
        <v>#REF!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12">
        <v>79.0</v>
      </c>
      <c r="B81" s="13">
        <v>79.0</v>
      </c>
      <c r="C81" s="9" t="str">
        <f t="array" ref="C81">IFERROR(INDEX(Data!F:F, MATCH($E81, Data!$B:$B, 0)), "")</f>
        <v/>
      </c>
      <c r="D81" s="9" t="str">
        <f t="array" ref="D81">IFERROR(INDEX(Data!A:A, MATCH($E81, Data!$B:$B, 0)), "")</f>
        <v/>
      </c>
      <c r="E81" s="9" t="str">
        <f>LARGE(Data!$B$2:$B1000,A81 )</f>
        <v>#NUM!</v>
      </c>
      <c r="F81" s="9" t="str">
        <f t="array" ref="F81">IFERROR(INDEX(Data!C:C, MATCH($E81, Data!$B:$B, 0)), "")</f>
        <v/>
      </c>
      <c r="G81" s="9" t="str">
        <f t="array" ref="G81">IFERROR(INDEX(Data!D:D, MATCH($E81, Data!$B:$B, 0)), "")</f>
        <v/>
      </c>
      <c r="H81" s="9" t="str">
        <f t="array" ref="H81">IFERROR(INDEX(Data!E:E, MATCH($E81, Data!$B:$B, 0)), "")</f>
        <v/>
      </c>
      <c r="I81" s="9" t="str">
        <f t="shared" si="1"/>
        <v/>
      </c>
      <c r="J81" s="9" t="str">
        <f t="shared" si="2"/>
        <v>#REF!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12">
        <v>80.0</v>
      </c>
      <c r="B82" s="13">
        <v>80.0</v>
      </c>
      <c r="C82" s="9" t="str">
        <f t="array" ref="C82">IFERROR(INDEX(Data!F:F, MATCH($E82, Data!$B:$B, 0)), "")</f>
        <v/>
      </c>
      <c r="D82" s="9" t="str">
        <f t="array" ref="D82">IFERROR(INDEX(Data!A:A, MATCH($E82, Data!$B:$B, 0)), "")</f>
        <v/>
      </c>
      <c r="E82" s="9" t="str">
        <f>LARGE(Data!$B$2:$B1000,A82 )</f>
        <v>#NUM!</v>
      </c>
      <c r="F82" s="9" t="str">
        <f t="array" ref="F82">IFERROR(INDEX(Data!C:C, MATCH($E82, Data!$B:$B, 0)), "")</f>
        <v/>
      </c>
      <c r="G82" s="9" t="str">
        <f t="array" ref="G82">IFERROR(INDEX(Data!D:D, MATCH($E82, Data!$B:$B, 0)), "")</f>
        <v/>
      </c>
      <c r="H82" s="9" t="str">
        <f t="array" ref="H82">IFERROR(INDEX(Data!E:E, MATCH($E82, Data!$B:$B, 0)), "")</f>
        <v/>
      </c>
      <c r="I82" s="9" t="str">
        <f t="shared" si="1"/>
        <v/>
      </c>
      <c r="J82" s="9" t="str">
        <f t="shared" si="2"/>
        <v>#REF!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12">
        <v>81.0</v>
      </c>
      <c r="B83" s="13">
        <v>81.0</v>
      </c>
      <c r="C83" s="9" t="str">
        <f t="array" ref="C83">IFERROR(INDEX(Data!F:F, MATCH($E83, Data!$B:$B, 0)), "")</f>
        <v/>
      </c>
      <c r="D83" s="9" t="str">
        <f t="array" ref="D83">IFERROR(INDEX(Data!A:A, MATCH($E83, Data!$B:$B, 0)), "")</f>
        <v/>
      </c>
      <c r="E83" s="9" t="str">
        <f>LARGE(Data!$B$2:$B1000,A83 )</f>
        <v>#NUM!</v>
      </c>
      <c r="F83" s="9" t="str">
        <f t="array" ref="F83">IFERROR(INDEX(Data!C:C, MATCH($E83, Data!$B:$B, 0)), "")</f>
        <v/>
      </c>
      <c r="G83" s="9" t="str">
        <f t="array" ref="G83">IFERROR(INDEX(Data!D:D, MATCH($E83, Data!$B:$B, 0)), "")</f>
        <v/>
      </c>
      <c r="H83" s="9" t="str">
        <f t="array" ref="H83">IFERROR(INDEX(Data!E:E, MATCH($E83, Data!$B:$B, 0)), "")</f>
        <v/>
      </c>
      <c r="I83" s="9" t="str">
        <f t="shared" si="1"/>
        <v/>
      </c>
      <c r="J83" s="9" t="str">
        <f t="shared" si="2"/>
        <v>#REF!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12">
        <v>82.0</v>
      </c>
      <c r="B84" s="13">
        <v>82.0</v>
      </c>
      <c r="C84" s="9" t="str">
        <f t="array" ref="C84">IFERROR(INDEX(Data!F:F, MATCH($E84, Data!$B:$B, 0)), "")</f>
        <v/>
      </c>
      <c r="D84" s="9" t="str">
        <f t="array" ref="D84">IFERROR(INDEX(Data!A:A, MATCH($E84, Data!$B:$B, 0)), "")</f>
        <v/>
      </c>
      <c r="E84" s="9" t="str">
        <f>LARGE(Data!$B$2:$B1000,A84 )</f>
        <v>#NUM!</v>
      </c>
      <c r="F84" s="9" t="str">
        <f t="array" ref="F84">IFERROR(INDEX(Data!C:C, MATCH($E84, Data!$B:$B, 0)), "")</f>
        <v/>
      </c>
      <c r="G84" s="9" t="str">
        <f t="array" ref="G84">IFERROR(INDEX(Data!D:D, MATCH($E84, Data!$B:$B, 0)), "")</f>
        <v/>
      </c>
      <c r="H84" s="9" t="str">
        <f t="array" ref="H84">IFERROR(INDEX(Data!E:E, MATCH($E84, Data!$B:$B, 0)), "")</f>
        <v/>
      </c>
      <c r="I84" s="9" t="str">
        <f t="shared" si="1"/>
        <v/>
      </c>
      <c r="J84" s="9" t="str">
        <f t="shared" si="2"/>
        <v>#REF!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12">
        <v>83.0</v>
      </c>
      <c r="B85" s="13">
        <v>83.0</v>
      </c>
      <c r="C85" s="9" t="str">
        <f t="array" ref="C85">IFERROR(INDEX(Data!F:F, MATCH($E85, Data!$B:$B, 0)), "")</f>
        <v/>
      </c>
      <c r="D85" s="9" t="str">
        <f t="array" ref="D85">IFERROR(INDEX(Data!A:A, MATCH($E85, Data!$B:$B, 0)), "")</f>
        <v/>
      </c>
      <c r="E85" s="9" t="str">
        <f>LARGE(Data!$B$2:$B1000,A85 )</f>
        <v>#NUM!</v>
      </c>
      <c r="F85" s="9" t="str">
        <f t="array" ref="F85">IFERROR(INDEX(Data!C:C, MATCH($E85, Data!$B:$B, 0)), "")</f>
        <v/>
      </c>
      <c r="G85" s="9" t="str">
        <f t="array" ref="G85">IFERROR(INDEX(Data!D:D, MATCH($E85, Data!$B:$B, 0)), "")</f>
        <v/>
      </c>
      <c r="H85" s="9" t="str">
        <f t="array" ref="H85">IFERROR(INDEX(Data!E:E, MATCH($E85, Data!$B:$B, 0)), "")</f>
        <v/>
      </c>
      <c r="I85" s="9" t="str">
        <f t="shared" si="1"/>
        <v/>
      </c>
      <c r="J85" s="9" t="str">
        <f t="shared" si="2"/>
        <v>#REF!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12">
        <v>84.0</v>
      </c>
      <c r="B86" s="13">
        <v>84.0</v>
      </c>
      <c r="C86" s="9" t="str">
        <f t="array" ref="C86">IFERROR(INDEX(Data!F:F, MATCH($E86, Data!$B:$B, 0)), "")</f>
        <v/>
      </c>
      <c r="D86" s="9" t="str">
        <f t="array" ref="D86">IFERROR(INDEX(Data!A:A, MATCH($E86, Data!$B:$B, 0)), "")</f>
        <v/>
      </c>
      <c r="E86" s="9" t="str">
        <f>LARGE(Data!$B$2:$B1000,A86 )</f>
        <v>#NUM!</v>
      </c>
      <c r="F86" s="9" t="str">
        <f t="array" ref="F86">IFERROR(INDEX(Data!C:C, MATCH($E86, Data!$B:$B, 0)), "")</f>
        <v/>
      </c>
      <c r="G86" s="9" t="str">
        <f t="array" ref="G86">IFERROR(INDEX(Data!D:D, MATCH($E86, Data!$B:$B, 0)), "")</f>
        <v/>
      </c>
      <c r="H86" s="9" t="str">
        <f t="array" ref="H86">IFERROR(INDEX(Data!E:E, MATCH($E86, Data!$B:$B, 0)), "")</f>
        <v/>
      </c>
      <c r="I86" s="9" t="str">
        <f t="shared" si="1"/>
        <v/>
      </c>
      <c r="J86" s="9" t="str">
        <f t="shared" si="2"/>
        <v>#REF!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12">
        <v>85.0</v>
      </c>
      <c r="B87" s="13">
        <v>85.0</v>
      </c>
      <c r="C87" s="9" t="str">
        <f t="array" ref="C87">IFERROR(INDEX(Data!F:F, MATCH($E87, Data!$B:$B, 0)), "")</f>
        <v/>
      </c>
      <c r="D87" s="9" t="str">
        <f t="array" ref="D87">IFERROR(INDEX(Data!A:A, MATCH($E87, Data!$B:$B, 0)), "")</f>
        <v/>
      </c>
      <c r="E87" s="9" t="str">
        <f>LARGE(Data!$B$2:$B1000,A87 )</f>
        <v>#NUM!</v>
      </c>
      <c r="F87" s="9" t="str">
        <f t="array" ref="F87">IFERROR(INDEX(Data!C:C, MATCH($E87, Data!$B:$B, 0)), "")</f>
        <v/>
      </c>
      <c r="G87" s="9" t="str">
        <f t="array" ref="G87">IFERROR(INDEX(Data!D:D, MATCH($E87, Data!$B:$B, 0)), "")</f>
        <v/>
      </c>
      <c r="H87" s="9" t="str">
        <f t="array" ref="H87">IFERROR(INDEX(Data!E:E, MATCH($E87, Data!$B:$B, 0)), "")</f>
        <v/>
      </c>
      <c r="I87" s="9" t="str">
        <f t="shared" si="1"/>
        <v/>
      </c>
      <c r="J87" s="9" t="str">
        <f t="shared" si="2"/>
        <v>#REF!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12">
        <v>86.0</v>
      </c>
      <c r="B88" s="13">
        <v>86.0</v>
      </c>
      <c r="C88" s="9" t="str">
        <f t="array" ref="C88">IFERROR(INDEX(Data!F:F, MATCH($E88, Data!$B:$B, 0)), "")</f>
        <v/>
      </c>
      <c r="D88" s="9" t="str">
        <f t="array" ref="D88">IFERROR(INDEX(Data!A:A, MATCH($E88, Data!$B:$B, 0)), "")</f>
        <v/>
      </c>
      <c r="E88" s="9" t="str">
        <f>LARGE(Data!$B$2:$B1000,A88 )</f>
        <v>#NUM!</v>
      </c>
      <c r="F88" s="9" t="str">
        <f t="array" ref="F88">IFERROR(INDEX(Data!C:C, MATCH($E88, Data!$B:$B, 0)), "")</f>
        <v/>
      </c>
      <c r="G88" s="9" t="str">
        <f t="array" ref="G88">IFERROR(INDEX(Data!D:D, MATCH($E88, Data!$B:$B, 0)), "")</f>
        <v/>
      </c>
      <c r="H88" s="9" t="str">
        <f t="array" ref="H88">IFERROR(INDEX(Data!E:E, MATCH($E88, Data!$B:$B, 0)), "")</f>
        <v/>
      </c>
      <c r="I88" s="9" t="str">
        <f t="shared" si="1"/>
        <v/>
      </c>
      <c r="J88" s="9" t="str">
        <f t="shared" si="2"/>
        <v>#REF!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12">
        <v>87.0</v>
      </c>
      <c r="B89" s="13">
        <v>87.0</v>
      </c>
      <c r="C89" s="9" t="str">
        <f t="array" ref="C89">IFERROR(INDEX(Data!F:F, MATCH($E89, Data!$B:$B, 0)), "")</f>
        <v/>
      </c>
      <c r="D89" s="9" t="str">
        <f t="array" ref="D89">IFERROR(INDEX(Data!A:A, MATCH($E89, Data!$B:$B, 0)), "")</f>
        <v/>
      </c>
      <c r="E89" s="9" t="str">
        <f>LARGE(Data!$B$2:$B1000,A89 )</f>
        <v>#NUM!</v>
      </c>
      <c r="F89" s="9" t="str">
        <f t="array" ref="F89">IFERROR(INDEX(Data!C:C, MATCH($E89, Data!$B:$B, 0)), "")</f>
        <v/>
      </c>
      <c r="G89" s="9" t="str">
        <f t="array" ref="G89">IFERROR(INDEX(Data!D:D, MATCH($E89, Data!$B:$B, 0)), "")</f>
        <v/>
      </c>
      <c r="H89" s="9" t="str">
        <f t="array" ref="H89">IFERROR(INDEX(Data!E:E, MATCH($E89, Data!$B:$B, 0)), "")</f>
        <v/>
      </c>
      <c r="I89" s="9" t="str">
        <f t="shared" si="1"/>
        <v/>
      </c>
      <c r="J89" s="9" t="str">
        <f t="shared" si="2"/>
        <v>#REF!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12">
        <v>88.0</v>
      </c>
      <c r="B90" s="13">
        <v>88.0</v>
      </c>
      <c r="C90" s="9" t="str">
        <f t="array" ref="C90">IFERROR(INDEX(Data!F:F, MATCH($E90, Data!$B:$B, 0)), "")</f>
        <v/>
      </c>
      <c r="D90" s="9" t="str">
        <f t="array" ref="D90">IFERROR(INDEX(Data!A:A, MATCH($E90, Data!$B:$B, 0)), "")</f>
        <v/>
      </c>
      <c r="E90" s="9" t="str">
        <f>LARGE(Data!$B$2:$B1000,A90 )</f>
        <v>#NUM!</v>
      </c>
      <c r="F90" s="9" t="str">
        <f t="array" ref="F90">IFERROR(INDEX(Data!C:C, MATCH($E90, Data!$B:$B, 0)), "")</f>
        <v/>
      </c>
      <c r="G90" s="9" t="str">
        <f t="array" ref="G90">IFERROR(INDEX(Data!D:D, MATCH($E90, Data!$B:$B, 0)), "")</f>
        <v/>
      </c>
      <c r="H90" s="9" t="str">
        <f t="array" ref="H90">IFERROR(INDEX(Data!E:E, MATCH($E90, Data!$B:$B, 0)), "")</f>
        <v/>
      </c>
      <c r="I90" s="9" t="str">
        <f t="shared" si="1"/>
        <v/>
      </c>
      <c r="J90" s="9" t="str">
        <f t="shared" si="2"/>
        <v>#REF!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12">
        <v>89.0</v>
      </c>
      <c r="B91" s="13">
        <v>89.0</v>
      </c>
      <c r="C91" s="9" t="str">
        <f t="array" ref="C91">IFERROR(INDEX(Data!F:F, MATCH($E91, Data!$B:$B, 0)), "")</f>
        <v/>
      </c>
      <c r="D91" s="9" t="str">
        <f t="array" ref="D91">IFERROR(INDEX(Data!A:A, MATCH($E91, Data!$B:$B, 0)), "")</f>
        <v/>
      </c>
      <c r="E91" s="9" t="str">
        <f>LARGE(Data!$B$2:$B1000,A91 )</f>
        <v>#NUM!</v>
      </c>
      <c r="F91" s="9" t="str">
        <f t="array" ref="F91">IFERROR(INDEX(Data!C:C, MATCH($E91, Data!$B:$B, 0)), "")</f>
        <v/>
      </c>
      <c r="G91" s="9" t="str">
        <f t="array" ref="G91">IFERROR(INDEX(Data!D:D, MATCH($E91, Data!$B:$B, 0)), "")</f>
        <v/>
      </c>
      <c r="H91" s="9" t="str">
        <f t="array" ref="H91">IFERROR(INDEX(Data!E:E, MATCH($E91, Data!$B:$B, 0)), "")</f>
        <v/>
      </c>
      <c r="I91" s="9" t="str">
        <f t="shared" si="1"/>
        <v/>
      </c>
      <c r="J91" s="9" t="str">
        <f t="shared" si="2"/>
        <v>#REF!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12">
        <v>90.0</v>
      </c>
      <c r="B92" s="13">
        <v>90.0</v>
      </c>
      <c r="C92" s="9" t="str">
        <f t="array" ref="C92">IFERROR(INDEX(Data!F:F, MATCH($E92, Data!$B:$B, 0)), "")</f>
        <v/>
      </c>
      <c r="D92" s="9" t="str">
        <f t="array" ref="D92">IFERROR(INDEX(Data!A:A, MATCH($E92, Data!$B:$B, 0)), "")</f>
        <v/>
      </c>
      <c r="E92" s="9" t="str">
        <f>LARGE(Data!$B$2:$B1000,A92 )</f>
        <v>#NUM!</v>
      </c>
      <c r="F92" s="9" t="str">
        <f t="array" ref="F92">IFERROR(INDEX(Data!C:C, MATCH($E92, Data!$B:$B, 0)), "")</f>
        <v/>
      </c>
      <c r="G92" s="9" t="str">
        <f t="array" ref="G92">IFERROR(INDEX(Data!D:D, MATCH($E92, Data!$B:$B, 0)), "")</f>
        <v/>
      </c>
      <c r="H92" s="9" t="str">
        <f t="array" ref="H92">IFERROR(INDEX(Data!E:E, MATCH($E92, Data!$B:$B, 0)), "")</f>
        <v/>
      </c>
      <c r="I92" s="9" t="str">
        <f t="shared" si="1"/>
        <v/>
      </c>
      <c r="J92" s="9" t="str">
        <f t="shared" si="2"/>
        <v>#REF!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12">
        <v>91.0</v>
      </c>
      <c r="B93" s="13">
        <v>91.0</v>
      </c>
      <c r="C93" s="9" t="str">
        <f t="array" ref="C93">IFERROR(INDEX(Data!F:F, MATCH($E93, Data!$B:$B, 0)), "")</f>
        <v/>
      </c>
      <c r="D93" s="9" t="str">
        <f t="array" ref="D93">IFERROR(INDEX(Data!A:A, MATCH($E93, Data!$B:$B, 0)), "")</f>
        <v/>
      </c>
      <c r="E93" s="9" t="str">
        <f>LARGE(Data!$B$2:$B1000,A93 )</f>
        <v>#NUM!</v>
      </c>
      <c r="F93" s="9" t="str">
        <f t="array" ref="F93">IFERROR(INDEX(Data!C:C, MATCH($E93, Data!$B:$B, 0)), "")</f>
        <v/>
      </c>
      <c r="G93" s="9" t="str">
        <f t="array" ref="G93">IFERROR(INDEX(Data!D:D, MATCH($E93, Data!$B:$B, 0)), "")</f>
        <v/>
      </c>
      <c r="H93" s="9" t="str">
        <f t="array" ref="H93">IFERROR(INDEX(Data!E:E, MATCH($E93, Data!$B:$B, 0)), "")</f>
        <v/>
      </c>
      <c r="I93" s="9" t="str">
        <f t="shared" si="1"/>
        <v/>
      </c>
      <c r="J93" s="9" t="str">
        <f t="shared" si="2"/>
        <v>#REF!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12">
        <v>92.0</v>
      </c>
      <c r="B94" s="13">
        <v>92.0</v>
      </c>
      <c r="C94" s="9" t="str">
        <f t="array" ref="C94">IFERROR(INDEX(Data!F:F, MATCH($E94, Data!$B:$B, 0)), "")</f>
        <v/>
      </c>
      <c r="D94" s="9" t="str">
        <f t="array" ref="D94">IFERROR(INDEX(Data!A:A, MATCH($E94, Data!$B:$B, 0)), "")</f>
        <v/>
      </c>
      <c r="E94" s="9" t="str">
        <f>LARGE(Data!$B$2:$B1000,A94 )</f>
        <v>#NUM!</v>
      </c>
      <c r="F94" s="9" t="str">
        <f t="array" ref="F94">IFERROR(INDEX(Data!C:C, MATCH($E94, Data!$B:$B, 0)), "")</f>
        <v/>
      </c>
      <c r="G94" s="9" t="str">
        <f t="array" ref="G94">IFERROR(INDEX(Data!D:D, MATCH($E94, Data!$B:$B, 0)), "")</f>
        <v/>
      </c>
      <c r="H94" s="9" t="str">
        <f t="array" ref="H94">IFERROR(INDEX(Data!E:E, MATCH($E94, Data!$B:$B, 0)), "")</f>
        <v/>
      </c>
      <c r="I94" s="9" t="str">
        <f t="shared" si="1"/>
        <v/>
      </c>
      <c r="J94" s="9" t="str">
        <f t="shared" si="2"/>
        <v>#REF!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12">
        <v>93.0</v>
      </c>
      <c r="B95" s="13">
        <v>93.0</v>
      </c>
      <c r="C95" s="9" t="str">
        <f t="array" ref="C95">IFERROR(INDEX(Data!F:F, MATCH($E95, Data!$B:$B, 0)), "")</f>
        <v/>
      </c>
      <c r="D95" s="9" t="str">
        <f t="array" ref="D95">IFERROR(INDEX(Data!A:A, MATCH($E95, Data!$B:$B, 0)), "")</f>
        <v/>
      </c>
      <c r="E95" s="9" t="str">
        <f>LARGE(Data!$B$2:$B1000,A95 )</f>
        <v>#NUM!</v>
      </c>
      <c r="F95" s="9" t="str">
        <f t="array" ref="F95">IFERROR(INDEX(Data!C:C, MATCH($E95, Data!$B:$B, 0)), "")</f>
        <v/>
      </c>
      <c r="G95" s="9" t="str">
        <f t="array" ref="G95">IFERROR(INDEX(Data!D:D, MATCH($E95, Data!$B:$B, 0)), "")</f>
        <v/>
      </c>
      <c r="H95" s="9" t="str">
        <f t="array" ref="H95">IFERROR(INDEX(Data!E:E, MATCH($E95, Data!$B:$B, 0)), "")</f>
        <v/>
      </c>
      <c r="I95" s="9" t="str">
        <f t="shared" si="1"/>
        <v/>
      </c>
      <c r="J95" s="9" t="str">
        <f t="shared" si="2"/>
        <v>#REF!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12">
        <v>94.0</v>
      </c>
      <c r="B96" s="13">
        <v>94.0</v>
      </c>
      <c r="C96" s="9" t="str">
        <f t="array" ref="C96">IFERROR(INDEX(Data!F:F, MATCH($E96, Data!$B:$B, 0)), "")</f>
        <v/>
      </c>
      <c r="D96" s="9" t="str">
        <f t="array" ref="D96">IFERROR(INDEX(Data!A:A, MATCH($E96, Data!$B:$B, 0)), "")</f>
        <v/>
      </c>
      <c r="E96" s="9" t="str">
        <f>LARGE(Data!$B$2:$B1000,A96 )</f>
        <v>#NUM!</v>
      </c>
      <c r="F96" s="9" t="str">
        <f t="array" ref="F96">IFERROR(INDEX(Data!C:C, MATCH($E96, Data!$B:$B, 0)), "")</f>
        <v/>
      </c>
      <c r="G96" s="9" t="str">
        <f t="array" ref="G96">IFERROR(INDEX(Data!D:D, MATCH($E96, Data!$B:$B, 0)), "")</f>
        <v/>
      </c>
      <c r="H96" s="9" t="str">
        <f t="array" ref="H96">IFERROR(INDEX(Data!E:E, MATCH($E96, Data!$B:$B, 0)), "")</f>
        <v/>
      </c>
      <c r="I96" s="9" t="str">
        <f t="shared" si="1"/>
        <v/>
      </c>
      <c r="J96" s="9" t="str">
        <f t="shared" si="2"/>
        <v>#REF!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12">
        <v>95.0</v>
      </c>
      <c r="B97" s="13">
        <v>95.0</v>
      </c>
      <c r="C97" s="9" t="str">
        <f t="array" ref="C97">IFERROR(INDEX(Data!F:F, MATCH($E97, Data!$B:$B, 0)), "")</f>
        <v/>
      </c>
      <c r="D97" s="9" t="str">
        <f t="array" ref="D97">IFERROR(INDEX(Data!A:A, MATCH($E97, Data!$B:$B, 0)), "")</f>
        <v/>
      </c>
      <c r="E97" s="9" t="str">
        <f>LARGE(Data!$B$2:$B1000,A97 )</f>
        <v>#NUM!</v>
      </c>
      <c r="F97" s="9" t="str">
        <f t="array" ref="F97">IFERROR(INDEX(Data!C:C, MATCH($E97, Data!$B:$B, 0)), "")</f>
        <v/>
      </c>
      <c r="G97" s="9" t="str">
        <f t="array" ref="G97">IFERROR(INDEX(Data!D:D, MATCH($E97, Data!$B:$B, 0)), "")</f>
        <v/>
      </c>
      <c r="H97" s="9" t="str">
        <f t="array" ref="H97">IFERROR(INDEX(Data!E:E, MATCH($E97, Data!$B:$B, 0)), "")</f>
        <v/>
      </c>
      <c r="I97" s="9" t="str">
        <f t="shared" si="1"/>
        <v/>
      </c>
      <c r="J97" s="9" t="str">
        <f t="shared" si="2"/>
        <v>#REF!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12">
        <v>96.0</v>
      </c>
      <c r="B98" s="13">
        <v>96.0</v>
      </c>
      <c r="C98" s="9" t="str">
        <f t="array" ref="C98">IFERROR(INDEX(Data!F:F, MATCH($E98, Data!$B:$B, 0)), "")</f>
        <v/>
      </c>
      <c r="D98" s="9" t="str">
        <f t="array" ref="D98">IFERROR(INDEX(Data!A:A, MATCH($E98, Data!$B:$B, 0)), "")</f>
        <v/>
      </c>
      <c r="E98" s="9" t="str">
        <f>LARGE(Data!$B$2:$B1000,A98 )</f>
        <v>#NUM!</v>
      </c>
      <c r="F98" s="9" t="str">
        <f t="array" ref="F98">IFERROR(INDEX(Data!C:C, MATCH($E98, Data!$B:$B, 0)), "")</f>
        <v/>
      </c>
      <c r="G98" s="9" t="str">
        <f t="array" ref="G98">IFERROR(INDEX(Data!D:D, MATCH($E98, Data!$B:$B, 0)), "")</f>
        <v/>
      </c>
      <c r="H98" s="9" t="str">
        <f t="array" ref="H98">IFERROR(INDEX(Data!E:E, MATCH($E98, Data!$B:$B, 0)), "")</f>
        <v/>
      </c>
      <c r="I98" s="9" t="str">
        <f t="shared" si="1"/>
        <v/>
      </c>
      <c r="J98" s="9" t="str">
        <f t="shared" si="2"/>
        <v>#REF!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12">
        <v>97.0</v>
      </c>
      <c r="B99" s="13">
        <v>97.0</v>
      </c>
      <c r="C99" s="9" t="str">
        <f t="array" ref="C99">IFERROR(INDEX(Data!F:F, MATCH($E99, Data!$B:$B, 0)), "")</f>
        <v/>
      </c>
      <c r="D99" s="9" t="str">
        <f t="array" ref="D99">IFERROR(INDEX(Data!A:A, MATCH($E99, Data!$B:$B, 0)), "")</f>
        <v/>
      </c>
      <c r="E99" s="9" t="str">
        <f>LARGE(Data!$B$2:$B1000,A99 )</f>
        <v>#NUM!</v>
      </c>
      <c r="F99" s="9" t="str">
        <f t="array" ref="F99">IFERROR(INDEX(Data!C:C, MATCH($E99, Data!$B:$B, 0)), "")</f>
        <v/>
      </c>
      <c r="G99" s="9" t="str">
        <f t="array" ref="G99">IFERROR(INDEX(Data!D:D, MATCH($E99, Data!$B:$B, 0)), "")</f>
        <v/>
      </c>
      <c r="H99" s="9" t="str">
        <f t="array" ref="H99">IFERROR(INDEX(Data!E:E, MATCH($E99, Data!$B:$B, 0)), "")</f>
        <v/>
      </c>
      <c r="I99" s="9" t="str">
        <f t="shared" si="1"/>
        <v/>
      </c>
      <c r="J99" s="9" t="str">
        <f t="shared" si="2"/>
        <v>#REF!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12">
        <v>98.0</v>
      </c>
      <c r="B100" s="13">
        <v>98.0</v>
      </c>
      <c r="C100" s="9" t="str">
        <f t="array" ref="C100">IFERROR(INDEX(Data!F:F, MATCH($E100, Data!$B:$B, 0)), "")</f>
        <v/>
      </c>
      <c r="D100" s="9" t="str">
        <f t="array" ref="D100">IFERROR(INDEX(Data!A:A, MATCH($E100, Data!$B:$B, 0)), "")</f>
        <v/>
      </c>
      <c r="E100" s="9" t="str">
        <f>LARGE(Data!$B$2:$B1000,A100 )</f>
        <v>#NUM!</v>
      </c>
      <c r="F100" s="9" t="str">
        <f t="array" ref="F100">IFERROR(INDEX(Data!C:C, MATCH($E100, Data!$B:$B, 0)), "")</f>
        <v/>
      </c>
      <c r="G100" s="9" t="str">
        <f t="array" ref="G100">IFERROR(INDEX(Data!D:D, MATCH($E100, Data!$B:$B, 0)), "")</f>
        <v/>
      </c>
      <c r="H100" s="9" t="str">
        <f t="array" ref="H100">IFERROR(INDEX(Data!E:E, MATCH($E100, Data!$B:$B, 0)), "")</f>
        <v/>
      </c>
      <c r="I100" s="9" t="str">
        <f t="shared" si="1"/>
        <v/>
      </c>
      <c r="J100" s="9" t="str">
        <f t="shared" si="2"/>
        <v>#REF!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12">
        <v>99.0</v>
      </c>
      <c r="B101" s="13">
        <v>99.0</v>
      </c>
      <c r="C101" s="9" t="str">
        <f t="array" ref="C101">IFERROR(INDEX(Data!F:F, MATCH($E101, Data!$B:$B, 0)), "")</f>
        <v/>
      </c>
      <c r="D101" s="9" t="str">
        <f t="array" ref="D101">IFERROR(INDEX(Data!A:A, MATCH($E101, Data!$B:$B, 0)), "")</f>
        <v/>
      </c>
      <c r="E101" s="9" t="str">
        <f>LARGE(Data!$B$2:$B1000,A101 )</f>
        <v>#NUM!</v>
      </c>
      <c r="F101" s="9" t="str">
        <f t="array" ref="F101">IFERROR(INDEX(Data!C:C, MATCH($E101, Data!$B:$B, 0)), "")</f>
        <v/>
      </c>
      <c r="G101" s="9" t="str">
        <f t="array" ref="G101">IFERROR(INDEX(Data!D:D, MATCH($E101, Data!$B:$B, 0)), "")</f>
        <v/>
      </c>
      <c r="H101" s="9" t="str">
        <f t="array" ref="H101">IFERROR(INDEX(Data!E:E, MATCH($E101, Data!$B:$B, 0)), "")</f>
        <v/>
      </c>
      <c r="I101" s="9" t="str">
        <f t="shared" si="1"/>
        <v/>
      </c>
      <c r="J101" s="9" t="str">
        <f t="shared" si="2"/>
        <v>#REF!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12">
        <v>100.0</v>
      </c>
      <c r="B102" s="13">
        <v>100.0</v>
      </c>
      <c r="C102" s="9" t="str">
        <f t="array" ref="C102">IFERROR(INDEX(Data!F:F, MATCH($E102, Data!$B:$B, 0)), "")</f>
        <v/>
      </c>
      <c r="D102" s="9" t="str">
        <f t="array" ref="D102">IFERROR(INDEX(Data!A:A, MATCH($E102, Data!$B:$B, 0)), "")</f>
        <v/>
      </c>
      <c r="E102" s="9" t="str">
        <f>LARGE(Data!$B$2:$B1000,A102 )</f>
        <v>#NUM!</v>
      </c>
      <c r="F102" s="9" t="str">
        <f t="array" ref="F102">IFERROR(INDEX(Data!C:C, MATCH($E102, Data!$B:$B, 0)), "")</f>
        <v/>
      </c>
      <c r="G102" s="9" t="str">
        <f t="array" ref="G102">IFERROR(INDEX(Data!D:D, MATCH($E102, Data!$B:$B, 0)), "")</f>
        <v/>
      </c>
      <c r="H102" s="9" t="str">
        <f t="array" ref="H102">IFERROR(INDEX(Data!E:E, MATCH($E102, Data!$B:$B, 0)), "")</f>
        <v/>
      </c>
      <c r="I102" s="9" t="str">
        <f t="shared" si="1"/>
        <v/>
      </c>
      <c r="J102" s="9" t="str">
        <f t="shared" si="2"/>
        <v>#REF!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12">
        <v>101.0</v>
      </c>
      <c r="B103" s="13">
        <v>101.0</v>
      </c>
      <c r="C103" s="9" t="str">
        <f t="array" ref="C103">IFERROR(INDEX(Data!F:F, MATCH($E103, Data!$B:$B, 0)), "")</f>
        <v/>
      </c>
      <c r="D103" s="9" t="str">
        <f t="array" ref="D103">IFERROR(INDEX(Data!A:A, MATCH($E103, Data!$B:$B, 0)), "")</f>
        <v/>
      </c>
      <c r="E103" s="9" t="str">
        <f>LARGE(Data!$B$2:$B1000,A103 )</f>
        <v>#NUM!</v>
      </c>
      <c r="F103" s="9" t="str">
        <f t="array" ref="F103">IFERROR(INDEX(Data!C:C, MATCH($E103, Data!$B:$B, 0)), "")</f>
        <v/>
      </c>
      <c r="G103" s="9" t="str">
        <f t="array" ref="G103">IFERROR(INDEX(Data!D:D, MATCH($E103, Data!$B:$B, 0)), "")</f>
        <v/>
      </c>
      <c r="H103" s="9" t="str">
        <f t="array" ref="H103">IFERROR(INDEX(Data!E:E, MATCH($E103, Data!$B:$B, 0)), "")</f>
        <v/>
      </c>
      <c r="I103" s="9" t="str">
        <f t="shared" si="1"/>
        <v/>
      </c>
      <c r="J103" s="9" t="str">
        <f t="shared" si="2"/>
        <v>#REF!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12">
        <v>102.0</v>
      </c>
      <c r="B104" s="13">
        <v>102.0</v>
      </c>
      <c r="C104" s="9" t="str">
        <f t="array" ref="C104">IFERROR(INDEX(Data!F:F, MATCH($E104, Data!$B:$B, 0)), "")</f>
        <v/>
      </c>
      <c r="D104" s="9" t="str">
        <f t="array" ref="D104">IFERROR(INDEX(Data!A:A, MATCH($E104, Data!$B:$B, 0)), "")</f>
        <v/>
      </c>
      <c r="E104" s="9" t="str">
        <f>LARGE(Data!$B$2:$B1000,A104 )</f>
        <v>#NUM!</v>
      </c>
      <c r="F104" s="9" t="str">
        <f t="array" ref="F104">IFERROR(INDEX(Data!C:C, MATCH($E104, Data!$B:$B, 0)), "")</f>
        <v/>
      </c>
      <c r="G104" s="9" t="str">
        <f t="array" ref="G104">IFERROR(INDEX(Data!D:D, MATCH($E104, Data!$B:$B, 0)), "")</f>
        <v/>
      </c>
      <c r="H104" s="9" t="str">
        <f t="array" ref="H104">IFERROR(INDEX(Data!E:E, MATCH($E104, Data!$B:$B, 0)), "")</f>
        <v/>
      </c>
      <c r="I104" s="9" t="str">
        <f t="shared" si="1"/>
        <v/>
      </c>
      <c r="J104" s="9" t="str">
        <f t="shared" si="2"/>
        <v>#REF!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12">
        <v>103.0</v>
      </c>
      <c r="B105" s="13">
        <v>103.0</v>
      </c>
      <c r="C105" s="9" t="str">
        <f t="array" ref="C105">IFERROR(INDEX(Data!F:F, MATCH($E105, Data!$B:$B, 0)), "")</f>
        <v/>
      </c>
      <c r="D105" s="9" t="str">
        <f t="array" ref="D105">IFERROR(INDEX(Data!A:A, MATCH($E105, Data!$B:$B, 0)), "")</f>
        <v/>
      </c>
      <c r="E105" s="9" t="str">
        <f>LARGE(Data!$B$2:$B1000,A105 )</f>
        <v>#NUM!</v>
      </c>
      <c r="F105" s="9" t="str">
        <f t="array" ref="F105">IFERROR(INDEX(Data!C:C, MATCH($E105, Data!$B:$B, 0)), "")</f>
        <v/>
      </c>
      <c r="G105" s="9" t="str">
        <f t="array" ref="G105">IFERROR(INDEX(Data!D:D, MATCH($E105, Data!$B:$B, 0)), "")</f>
        <v/>
      </c>
      <c r="H105" s="9" t="str">
        <f t="array" ref="H105">IFERROR(INDEX(Data!E:E, MATCH($E105, Data!$B:$B, 0)), "")</f>
        <v/>
      </c>
      <c r="I105" s="9" t="str">
        <f t="shared" si="1"/>
        <v/>
      </c>
      <c r="J105" s="9" t="str">
        <f t="shared" si="2"/>
        <v>#REF!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12">
        <v>104.0</v>
      </c>
      <c r="B106" s="13">
        <v>104.0</v>
      </c>
      <c r="C106" s="9" t="str">
        <f t="array" ref="C106">IFERROR(INDEX(Data!F:F, MATCH($E106, Data!$B:$B, 0)), "")</f>
        <v/>
      </c>
      <c r="D106" s="9" t="str">
        <f t="array" ref="D106">IFERROR(INDEX(Data!A:A, MATCH($E106, Data!$B:$B, 0)), "")</f>
        <v/>
      </c>
      <c r="E106" s="9" t="str">
        <f>LARGE(Data!$B$2:$B1000,A106 )</f>
        <v>#NUM!</v>
      </c>
      <c r="F106" s="9" t="str">
        <f t="array" ref="F106">IFERROR(INDEX(Data!C:C, MATCH($E106, Data!$B:$B, 0)), "")</f>
        <v/>
      </c>
      <c r="G106" s="9" t="str">
        <f t="array" ref="G106">IFERROR(INDEX(Data!D:D, MATCH($E106, Data!$B:$B, 0)), "")</f>
        <v/>
      </c>
      <c r="H106" s="9" t="str">
        <f t="array" ref="H106">IFERROR(INDEX(Data!E:E, MATCH($E106, Data!$B:$B, 0)), "")</f>
        <v/>
      </c>
      <c r="I106" s="9" t="str">
        <f t="shared" si="1"/>
        <v/>
      </c>
      <c r="J106" s="9" t="str">
        <f t="shared" si="2"/>
        <v>#REF!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12">
        <v>105.0</v>
      </c>
      <c r="B107" s="13">
        <v>105.0</v>
      </c>
      <c r="C107" s="9" t="str">
        <f t="array" ref="C107">IFERROR(INDEX(Data!F:F, MATCH($E107, Data!$B:$B, 0)), "")</f>
        <v/>
      </c>
      <c r="D107" s="9" t="str">
        <f t="array" ref="D107">IFERROR(INDEX(Data!A:A, MATCH($E107, Data!$B:$B, 0)), "")</f>
        <v/>
      </c>
      <c r="E107" s="9" t="str">
        <f>LARGE(Data!$B$2:$B1000,A107 )</f>
        <v>#NUM!</v>
      </c>
      <c r="F107" s="9" t="str">
        <f t="array" ref="F107">IFERROR(INDEX(Data!C:C, MATCH($E107, Data!$B:$B, 0)), "")</f>
        <v/>
      </c>
      <c r="G107" s="9" t="str">
        <f t="array" ref="G107">IFERROR(INDEX(Data!D:D, MATCH($E107, Data!$B:$B, 0)), "")</f>
        <v/>
      </c>
      <c r="H107" s="9" t="str">
        <f t="array" ref="H107">IFERROR(INDEX(Data!E:E, MATCH($E107, Data!$B:$B, 0)), "")</f>
        <v/>
      </c>
      <c r="I107" s="9" t="str">
        <f t="shared" si="1"/>
        <v/>
      </c>
      <c r="J107" s="9" t="str">
        <f t="shared" si="2"/>
        <v>#REF!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12">
        <v>106.0</v>
      </c>
      <c r="B108" s="13">
        <v>106.0</v>
      </c>
      <c r="C108" s="9" t="str">
        <f t="array" ref="C108">IFERROR(INDEX(Data!F:F, MATCH($E108, Data!$B:$B, 0)), "")</f>
        <v/>
      </c>
      <c r="D108" s="9" t="str">
        <f t="array" ref="D108">IFERROR(INDEX(Data!A:A, MATCH($E108, Data!$B:$B, 0)), "")</f>
        <v/>
      </c>
      <c r="E108" s="9" t="str">
        <f>LARGE(Data!$B$2:$B1000,A108 )</f>
        <v>#NUM!</v>
      </c>
      <c r="F108" s="9" t="str">
        <f t="array" ref="F108">IFERROR(INDEX(Data!C:C, MATCH($E108, Data!$B:$B, 0)), "")</f>
        <v/>
      </c>
      <c r="G108" s="9" t="str">
        <f t="array" ref="G108">IFERROR(INDEX(Data!D:D, MATCH($E108, Data!$B:$B, 0)), "")</f>
        <v/>
      </c>
      <c r="H108" s="9" t="str">
        <f t="array" ref="H108">IFERROR(INDEX(Data!E:E, MATCH($E108, Data!$B:$B, 0)), "")</f>
        <v/>
      </c>
      <c r="I108" s="9" t="str">
        <f t="shared" si="1"/>
        <v/>
      </c>
      <c r="J108" s="9" t="str">
        <f t="shared" si="2"/>
        <v>#REF!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12">
        <v>107.0</v>
      </c>
      <c r="B109" s="13">
        <v>107.0</v>
      </c>
      <c r="C109" s="9" t="str">
        <f t="array" ref="C109">IFERROR(INDEX(Data!F:F, MATCH($E109, Data!$B:$B, 0)), "")</f>
        <v/>
      </c>
      <c r="D109" s="9" t="str">
        <f t="array" ref="D109">IFERROR(INDEX(Data!A:A, MATCH($E109, Data!$B:$B, 0)), "")</f>
        <v/>
      </c>
      <c r="E109" s="9" t="str">
        <f>LARGE(Data!$B$2:$B1000,A109 )</f>
        <v>#NUM!</v>
      </c>
      <c r="F109" s="9" t="str">
        <f t="array" ref="F109">IFERROR(INDEX(Data!C:C, MATCH($E109, Data!$B:$B, 0)), "")</f>
        <v/>
      </c>
      <c r="G109" s="9" t="str">
        <f t="array" ref="G109">IFERROR(INDEX(Data!D:D, MATCH($E109, Data!$B:$B, 0)), "")</f>
        <v/>
      </c>
      <c r="H109" s="9" t="str">
        <f t="array" ref="H109">IFERROR(INDEX(Data!E:E, MATCH($E109, Data!$B:$B, 0)), "")</f>
        <v/>
      </c>
      <c r="I109" s="9" t="str">
        <f t="shared" si="1"/>
        <v/>
      </c>
      <c r="J109" s="9" t="str">
        <f t="shared" si="2"/>
        <v>#REF!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12">
        <v>108.0</v>
      </c>
      <c r="B110" s="13">
        <v>108.0</v>
      </c>
      <c r="C110" s="9" t="str">
        <f t="array" ref="C110">IFERROR(INDEX(Data!F:F, MATCH($E110, Data!$B:$B, 0)), "")</f>
        <v/>
      </c>
      <c r="D110" s="9" t="str">
        <f t="array" ref="D110">IFERROR(INDEX(Data!A:A, MATCH($E110, Data!$B:$B, 0)), "")</f>
        <v/>
      </c>
      <c r="E110" s="9" t="str">
        <f>LARGE(Data!$B$2:$B1000,A110 )</f>
        <v>#NUM!</v>
      </c>
      <c r="F110" s="9" t="str">
        <f t="array" ref="F110">IFERROR(INDEX(Data!C:C, MATCH($E110, Data!$B:$B, 0)), "")</f>
        <v/>
      </c>
      <c r="G110" s="9" t="str">
        <f t="array" ref="G110">IFERROR(INDEX(Data!D:D, MATCH($E110, Data!$B:$B, 0)), "")</f>
        <v/>
      </c>
      <c r="H110" s="9" t="str">
        <f t="array" ref="H110">IFERROR(INDEX(Data!E:E, MATCH($E110, Data!$B:$B, 0)), "")</f>
        <v/>
      </c>
      <c r="I110" s="9" t="str">
        <f t="shared" si="1"/>
        <v/>
      </c>
      <c r="J110" s="9" t="str">
        <f t="shared" si="2"/>
        <v>#REF!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12">
        <v>109.0</v>
      </c>
      <c r="B111" s="13">
        <v>109.0</v>
      </c>
      <c r="C111" s="9" t="str">
        <f t="array" ref="C111">IFERROR(INDEX(Data!F:F, MATCH($E111, Data!$B:$B, 0)), "")</f>
        <v/>
      </c>
      <c r="D111" s="9" t="str">
        <f t="array" ref="D111">IFERROR(INDEX(Data!A:A, MATCH($E111, Data!$B:$B, 0)), "")</f>
        <v/>
      </c>
      <c r="E111" s="9" t="str">
        <f>LARGE(Data!$B$2:$B1000,A111 )</f>
        <v>#NUM!</v>
      </c>
      <c r="F111" s="9" t="str">
        <f t="array" ref="F111">IFERROR(INDEX(Data!C:C, MATCH($E111, Data!$B:$B, 0)), "")</f>
        <v/>
      </c>
      <c r="G111" s="9" t="str">
        <f t="array" ref="G111">IFERROR(INDEX(Data!D:D, MATCH($E111, Data!$B:$B, 0)), "")</f>
        <v/>
      </c>
      <c r="H111" s="9" t="str">
        <f t="array" ref="H111">IFERROR(INDEX(Data!E:E, MATCH($E111, Data!$B:$B, 0)), "")</f>
        <v/>
      </c>
      <c r="I111" s="9" t="str">
        <f t="shared" si="1"/>
        <v/>
      </c>
      <c r="J111" s="9" t="str">
        <f t="shared" si="2"/>
        <v>#REF!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12">
        <v>110.0</v>
      </c>
      <c r="B112" s="13">
        <v>110.0</v>
      </c>
      <c r="C112" s="9" t="str">
        <f t="array" ref="C112">IFERROR(INDEX(Data!F:F, MATCH($E112, Data!$B:$B, 0)), "")</f>
        <v/>
      </c>
      <c r="D112" s="9" t="str">
        <f t="array" ref="D112">IFERROR(INDEX(Data!A:A, MATCH($E112, Data!$B:$B, 0)), "")</f>
        <v/>
      </c>
      <c r="E112" s="9" t="str">
        <f>LARGE(Data!$B$2:$B1000,A112 )</f>
        <v>#NUM!</v>
      </c>
      <c r="F112" s="9" t="str">
        <f t="array" ref="F112">IFERROR(INDEX(Data!C:C, MATCH($E112, Data!$B:$B, 0)), "")</f>
        <v/>
      </c>
      <c r="G112" s="9" t="str">
        <f t="array" ref="G112">IFERROR(INDEX(Data!D:D, MATCH($E112, Data!$B:$B, 0)), "")</f>
        <v/>
      </c>
      <c r="H112" s="9" t="str">
        <f t="array" ref="H112">IFERROR(INDEX(Data!E:E, MATCH($E112, Data!$B:$B, 0)), "")</f>
        <v/>
      </c>
      <c r="I112" s="9" t="str">
        <f t="shared" si="1"/>
        <v/>
      </c>
      <c r="J112" s="9" t="str">
        <f t="shared" si="2"/>
        <v>#REF!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12">
        <v>111.0</v>
      </c>
      <c r="B113" s="13">
        <v>111.0</v>
      </c>
      <c r="C113" s="9" t="str">
        <f t="array" ref="C113">IFERROR(INDEX(Data!F:F, MATCH($E113, Data!$B:$B, 0)), "")</f>
        <v/>
      </c>
      <c r="D113" s="9" t="str">
        <f t="array" ref="D113">IFERROR(INDEX(Data!A:A, MATCH($E113, Data!$B:$B, 0)), "")</f>
        <v/>
      </c>
      <c r="E113" s="9" t="str">
        <f>LARGE(Data!$B$2:$B1000,A113 )</f>
        <v>#NUM!</v>
      </c>
      <c r="F113" s="9" t="str">
        <f t="array" ref="F113">IFERROR(INDEX(Data!C:C, MATCH($E113, Data!$B:$B, 0)), "")</f>
        <v/>
      </c>
      <c r="G113" s="9" t="str">
        <f t="array" ref="G113">IFERROR(INDEX(Data!D:D, MATCH($E113, Data!$B:$B, 0)), "")</f>
        <v/>
      </c>
      <c r="H113" s="9" t="str">
        <f t="array" ref="H113">IFERROR(INDEX(Data!E:E, MATCH($E113, Data!$B:$B, 0)), "")</f>
        <v/>
      </c>
      <c r="I113" s="9" t="str">
        <f t="shared" si="1"/>
        <v/>
      </c>
      <c r="J113" s="9" t="str">
        <f t="shared" si="2"/>
        <v>#REF!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12">
        <v>112.0</v>
      </c>
      <c r="B114" s="13">
        <v>112.0</v>
      </c>
      <c r="C114" s="9" t="str">
        <f t="array" ref="C114">IFERROR(INDEX(Data!F:F, MATCH($E114, Data!$B:$B, 0)), "")</f>
        <v/>
      </c>
      <c r="D114" s="9" t="str">
        <f t="array" ref="D114">IFERROR(INDEX(Data!A:A, MATCH($E114, Data!$B:$B, 0)), "")</f>
        <v/>
      </c>
      <c r="E114" s="9" t="str">
        <f>LARGE(Data!$B$2:$B1000,A114 )</f>
        <v>#NUM!</v>
      </c>
      <c r="F114" s="9" t="str">
        <f t="array" ref="F114">IFERROR(INDEX(Data!C:C, MATCH($E114, Data!$B:$B, 0)), "")</f>
        <v/>
      </c>
      <c r="G114" s="9" t="str">
        <f t="array" ref="G114">IFERROR(INDEX(Data!D:D, MATCH($E114, Data!$B:$B, 0)), "")</f>
        <v/>
      </c>
      <c r="H114" s="9" t="str">
        <f t="array" ref="H114">IFERROR(INDEX(Data!E:E, MATCH($E114, Data!$B:$B, 0)), "")</f>
        <v/>
      </c>
      <c r="I114" s="9" t="str">
        <f t="shared" si="1"/>
        <v/>
      </c>
      <c r="J114" s="9" t="str">
        <f t="shared" si="2"/>
        <v>#REF!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12">
        <v>113.0</v>
      </c>
      <c r="B115" s="13">
        <v>113.0</v>
      </c>
      <c r="C115" s="9" t="str">
        <f t="array" ref="C115">IFERROR(INDEX(Data!F:F, MATCH($E115, Data!$B:$B, 0)), "")</f>
        <v/>
      </c>
      <c r="D115" s="9" t="str">
        <f t="array" ref="D115">IFERROR(INDEX(Data!A:A, MATCH($E115, Data!$B:$B, 0)), "")</f>
        <v/>
      </c>
      <c r="E115" s="9" t="str">
        <f>LARGE(Data!$B$2:$B1000,A115 )</f>
        <v>#NUM!</v>
      </c>
      <c r="F115" s="9" t="str">
        <f t="array" ref="F115">IFERROR(INDEX(Data!C:C, MATCH($E115, Data!$B:$B, 0)), "")</f>
        <v/>
      </c>
      <c r="G115" s="9" t="str">
        <f t="array" ref="G115">IFERROR(INDEX(Data!D:D, MATCH($E115, Data!$B:$B, 0)), "")</f>
        <v/>
      </c>
      <c r="H115" s="9" t="str">
        <f t="array" ref="H115">IFERROR(INDEX(Data!E:E, MATCH($E115, Data!$B:$B, 0)), "")</f>
        <v/>
      </c>
      <c r="I115" s="9" t="str">
        <f t="shared" si="1"/>
        <v/>
      </c>
      <c r="J115" s="9" t="str">
        <f t="shared" si="2"/>
        <v>#REF!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12">
        <v>114.0</v>
      </c>
      <c r="B116" s="13">
        <v>114.0</v>
      </c>
      <c r="C116" s="9" t="str">
        <f t="array" ref="C116">IFERROR(INDEX(Data!F:F, MATCH($E116, Data!$B:$B, 0)), "")</f>
        <v/>
      </c>
      <c r="D116" s="9" t="str">
        <f t="array" ref="D116">IFERROR(INDEX(Data!A:A, MATCH($E116, Data!$B:$B, 0)), "")</f>
        <v/>
      </c>
      <c r="E116" s="9" t="str">
        <f>LARGE(Data!$B$2:$B1000,A116 )</f>
        <v>#NUM!</v>
      </c>
      <c r="F116" s="9" t="str">
        <f t="array" ref="F116">IFERROR(INDEX(Data!C:C, MATCH($E116, Data!$B:$B, 0)), "")</f>
        <v/>
      </c>
      <c r="G116" s="9" t="str">
        <f t="array" ref="G116">IFERROR(INDEX(Data!D:D, MATCH($E116, Data!$B:$B, 0)), "")</f>
        <v/>
      </c>
      <c r="H116" s="9" t="str">
        <f t="array" ref="H116">IFERROR(INDEX(Data!E:E, MATCH($E116, Data!$B:$B, 0)), "")</f>
        <v/>
      </c>
      <c r="I116" s="9" t="str">
        <f t="shared" si="1"/>
        <v/>
      </c>
      <c r="J116" s="9" t="str">
        <f t="shared" si="2"/>
        <v>#REF!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12">
        <v>115.0</v>
      </c>
      <c r="B117" s="13">
        <v>115.0</v>
      </c>
      <c r="C117" s="9" t="str">
        <f t="array" ref="C117">IFERROR(INDEX(Data!F:F, MATCH($E117, Data!$B:$B, 0)), "")</f>
        <v/>
      </c>
      <c r="D117" s="9" t="str">
        <f t="array" ref="D117">IFERROR(INDEX(Data!A:A, MATCH($E117, Data!$B:$B, 0)), "")</f>
        <v/>
      </c>
      <c r="E117" s="9" t="str">
        <f>LARGE(Data!$B$2:$B1000,A117 )</f>
        <v>#NUM!</v>
      </c>
      <c r="F117" s="9" t="str">
        <f t="array" ref="F117">IFERROR(INDEX(Data!C:C, MATCH($E117, Data!$B:$B, 0)), "")</f>
        <v/>
      </c>
      <c r="G117" s="9" t="str">
        <f t="array" ref="G117">IFERROR(INDEX(Data!D:D, MATCH($E117, Data!$B:$B, 0)), "")</f>
        <v/>
      </c>
      <c r="H117" s="9" t="str">
        <f t="array" ref="H117">IFERROR(INDEX(Data!E:E, MATCH($E117, Data!$B:$B, 0)), "")</f>
        <v/>
      </c>
      <c r="I117" s="9" t="str">
        <f t="shared" si="1"/>
        <v/>
      </c>
      <c r="J117" s="9" t="str">
        <f t="shared" si="2"/>
        <v>#REF!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12">
        <v>116.0</v>
      </c>
      <c r="B118" s="13">
        <v>116.0</v>
      </c>
      <c r="C118" s="9" t="str">
        <f t="array" ref="C118">IFERROR(INDEX(Data!F:F, MATCH($E118, Data!$B:$B, 0)), "")</f>
        <v/>
      </c>
      <c r="D118" s="9" t="str">
        <f t="array" ref="D118">IFERROR(INDEX(Data!A:A, MATCH($E118, Data!$B:$B, 0)), "")</f>
        <v/>
      </c>
      <c r="E118" s="9" t="str">
        <f>LARGE(Data!$B$2:$B1000,A118 )</f>
        <v>#NUM!</v>
      </c>
      <c r="F118" s="9" t="str">
        <f t="array" ref="F118">IFERROR(INDEX(Data!C:C, MATCH($E118, Data!$B:$B, 0)), "")</f>
        <v/>
      </c>
      <c r="G118" s="9" t="str">
        <f t="array" ref="G118">IFERROR(INDEX(Data!D:D, MATCH($E118, Data!$B:$B, 0)), "")</f>
        <v/>
      </c>
      <c r="H118" s="9" t="str">
        <f t="array" ref="H118">IFERROR(INDEX(Data!E:E, MATCH($E118, Data!$B:$B, 0)), "")</f>
        <v/>
      </c>
      <c r="I118" s="9" t="str">
        <f t="shared" si="1"/>
        <v/>
      </c>
      <c r="J118" s="9" t="str">
        <f t="shared" si="2"/>
        <v>#REF!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12">
        <v>117.0</v>
      </c>
      <c r="B119" s="13">
        <v>117.0</v>
      </c>
      <c r="C119" s="9" t="str">
        <f t="array" ref="C119">IFERROR(INDEX(Data!F:F, MATCH($E119, Data!$B:$B, 0)), "")</f>
        <v/>
      </c>
      <c r="D119" s="9" t="str">
        <f t="array" ref="D119">IFERROR(INDEX(Data!A:A, MATCH($E119, Data!$B:$B, 0)), "")</f>
        <v/>
      </c>
      <c r="E119" s="9" t="str">
        <f>LARGE(Data!$B$2:$B1000,A119 )</f>
        <v>#NUM!</v>
      </c>
      <c r="F119" s="9" t="str">
        <f t="array" ref="F119">IFERROR(INDEX(Data!C:C, MATCH($E119, Data!$B:$B, 0)), "")</f>
        <v/>
      </c>
      <c r="G119" s="9" t="str">
        <f t="array" ref="G119">IFERROR(INDEX(Data!D:D, MATCH($E119, Data!$B:$B, 0)), "")</f>
        <v/>
      </c>
      <c r="H119" s="9" t="str">
        <f t="array" ref="H119">IFERROR(INDEX(Data!E:E, MATCH($E119, Data!$B:$B, 0)), "")</f>
        <v/>
      </c>
      <c r="I119" s="9" t="str">
        <f t="shared" si="1"/>
        <v/>
      </c>
      <c r="J119" s="9" t="str">
        <f t="shared" si="2"/>
        <v>#REF!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12">
        <v>118.0</v>
      </c>
      <c r="B120" s="13">
        <v>118.0</v>
      </c>
      <c r="C120" s="9" t="str">
        <f t="array" ref="C120">IFERROR(INDEX(Data!F:F, MATCH($E120, Data!$B:$B, 0)), "")</f>
        <v/>
      </c>
      <c r="D120" s="9" t="str">
        <f t="array" ref="D120">IFERROR(INDEX(Data!A:A, MATCH($E120, Data!$B:$B, 0)), "")</f>
        <v/>
      </c>
      <c r="E120" s="9" t="str">
        <f>LARGE(Data!$B$2:$B1000,A120 )</f>
        <v>#NUM!</v>
      </c>
      <c r="F120" s="9" t="str">
        <f t="array" ref="F120">IFERROR(INDEX(Data!C:C, MATCH($E120, Data!$B:$B, 0)), "")</f>
        <v/>
      </c>
      <c r="G120" s="9" t="str">
        <f t="array" ref="G120">IFERROR(INDEX(Data!D:D, MATCH($E120, Data!$B:$B, 0)), "")</f>
        <v/>
      </c>
      <c r="H120" s="9" t="str">
        <f t="array" ref="H120">IFERROR(INDEX(Data!E:E, MATCH($E120, Data!$B:$B, 0)), "")</f>
        <v/>
      </c>
      <c r="I120" s="9" t="str">
        <f t="shared" si="1"/>
        <v/>
      </c>
      <c r="J120" s="9" t="str">
        <f t="shared" si="2"/>
        <v>#REF!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12">
        <v>119.0</v>
      </c>
      <c r="B121" s="13">
        <v>119.0</v>
      </c>
      <c r="C121" s="9" t="str">
        <f t="array" ref="C121">IFERROR(INDEX(Data!F:F, MATCH($E121, Data!$B:$B, 0)), "")</f>
        <v/>
      </c>
      <c r="D121" s="9" t="str">
        <f t="array" ref="D121">IFERROR(INDEX(Data!A:A, MATCH($E121, Data!$B:$B, 0)), "")</f>
        <v/>
      </c>
      <c r="E121" s="9" t="str">
        <f>LARGE(Data!$B$2:$B1000,A121 )</f>
        <v>#NUM!</v>
      </c>
      <c r="F121" s="9" t="str">
        <f t="array" ref="F121">IFERROR(INDEX(Data!C:C, MATCH($E121, Data!$B:$B, 0)), "")</f>
        <v/>
      </c>
      <c r="G121" s="9" t="str">
        <f t="array" ref="G121">IFERROR(INDEX(Data!D:D, MATCH($E121, Data!$B:$B, 0)), "")</f>
        <v/>
      </c>
      <c r="H121" s="9" t="str">
        <f t="array" ref="H121">IFERROR(INDEX(Data!E:E, MATCH($E121, Data!$B:$B, 0)), "")</f>
        <v/>
      </c>
      <c r="I121" s="9" t="str">
        <f t="shared" si="1"/>
        <v/>
      </c>
      <c r="J121" s="9" t="str">
        <f t="shared" si="2"/>
        <v>#REF!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12">
        <v>120.0</v>
      </c>
      <c r="B122" s="13">
        <v>120.0</v>
      </c>
      <c r="C122" s="9" t="str">
        <f t="array" ref="C122">IFERROR(INDEX(Data!F:F, MATCH($E122, Data!$B:$B, 0)), "")</f>
        <v/>
      </c>
      <c r="D122" s="9" t="str">
        <f t="array" ref="D122">IFERROR(INDEX(Data!A:A, MATCH($E122, Data!$B:$B, 0)), "")</f>
        <v/>
      </c>
      <c r="E122" s="9" t="str">
        <f>LARGE(Data!$B$2:$B1000,A122 )</f>
        <v>#NUM!</v>
      </c>
      <c r="F122" s="9" t="str">
        <f t="array" ref="F122">IFERROR(INDEX(Data!C:C, MATCH($E122, Data!$B:$B, 0)), "")</f>
        <v/>
      </c>
      <c r="G122" s="9" t="str">
        <f t="array" ref="G122">IFERROR(INDEX(Data!D:D, MATCH($E122, Data!$B:$B, 0)), "")</f>
        <v/>
      </c>
      <c r="H122" s="9" t="str">
        <f t="array" ref="H122">IFERROR(INDEX(Data!E:E, MATCH($E122, Data!$B:$B, 0)), "")</f>
        <v/>
      </c>
      <c r="I122" s="9" t="str">
        <f t="shared" si="1"/>
        <v/>
      </c>
      <c r="J122" s="9" t="str">
        <f t="shared" si="2"/>
        <v>#REF!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12">
        <v>121.0</v>
      </c>
      <c r="B123" s="13">
        <v>121.0</v>
      </c>
      <c r="C123" s="9" t="str">
        <f t="array" ref="C123">IFERROR(INDEX(Data!F:F, MATCH($E123, Data!$B:$B, 0)), "")</f>
        <v/>
      </c>
      <c r="D123" s="9" t="str">
        <f t="array" ref="D123">IFERROR(INDEX(Data!A:A, MATCH($E123, Data!$B:$B, 0)), "")</f>
        <v/>
      </c>
      <c r="E123" s="9" t="str">
        <f>LARGE(Data!$B$2:$B1000,A123 )</f>
        <v>#NUM!</v>
      </c>
      <c r="F123" s="9" t="str">
        <f t="array" ref="F123">IFERROR(INDEX(Data!C:C, MATCH($E123, Data!$B:$B, 0)), "")</f>
        <v/>
      </c>
      <c r="G123" s="9" t="str">
        <f t="array" ref="G123">IFERROR(INDEX(Data!D:D, MATCH($E123, Data!$B:$B, 0)), "")</f>
        <v/>
      </c>
      <c r="H123" s="9" t="str">
        <f t="array" ref="H123">IFERROR(INDEX(Data!E:E, MATCH($E123, Data!$B:$B, 0)), "")</f>
        <v/>
      </c>
      <c r="I123" s="9" t="str">
        <f t="shared" si="1"/>
        <v/>
      </c>
      <c r="J123" s="9" t="str">
        <f t="shared" si="2"/>
        <v>#REF!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12">
        <v>122.0</v>
      </c>
      <c r="B124" s="13">
        <v>122.0</v>
      </c>
      <c r="C124" s="9" t="str">
        <f t="array" ref="C124">IFERROR(INDEX(Data!F:F, MATCH($E124, Data!$B:$B, 0)), "")</f>
        <v/>
      </c>
      <c r="D124" s="9" t="str">
        <f t="array" ref="D124">IFERROR(INDEX(Data!A:A, MATCH($E124, Data!$B:$B, 0)), "")</f>
        <v/>
      </c>
      <c r="E124" s="9" t="str">
        <f>LARGE(Data!$B$2:$B1000,A124 )</f>
        <v>#NUM!</v>
      </c>
      <c r="F124" s="9" t="str">
        <f t="array" ref="F124">IFERROR(INDEX(Data!C:C, MATCH($E124, Data!$B:$B, 0)), "")</f>
        <v/>
      </c>
      <c r="G124" s="9" t="str">
        <f t="array" ref="G124">IFERROR(INDEX(Data!D:D, MATCH($E124, Data!$B:$B, 0)), "")</f>
        <v/>
      </c>
      <c r="H124" s="9" t="str">
        <f t="array" ref="H124">IFERROR(INDEX(Data!E:E, MATCH($E124, Data!$B:$B, 0)), "")</f>
        <v/>
      </c>
      <c r="I124" s="9" t="str">
        <f t="shared" si="1"/>
        <v/>
      </c>
      <c r="J124" s="9" t="str">
        <f t="shared" si="2"/>
        <v>#REF!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12">
        <v>123.0</v>
      </c>
      <c r="B125" s="13">
        <v>123.0</v>
      </c>
      <c r="C125" s="9" t="str">
        <f t="array" ref="C125">IFERROR(INDEX(Data!F:F, MATCH($E125, Data!$B:$B, 0)), "")</f>
        <v/>
      </c>
      <c r="D125" s="9" t="str">
        <f t="array" ref="D125">IFERROR(INDEX(Data!A:A, MATCH($E125, Data!$B:$B, 0)), "")</f>
        <v/>
      </c>
      <c r="E125" s="9" t="str">
        <f>LARGE(Data!$B$2:$B1000,A125 )</f>
        <v>#NUM!</v>
      </c>
      <c r="F125" s="9" t="str">
        <f t="array" ref="F125">IFERROR(INDEX(Data!C:C, MATCH($E125, Data!$B:$B, 0)), "")</f>
        <v/>
      </c>
      <c r="G125" s="9" t="str">
        <f t="array" ref="G125">IFERROR(INDEX(Data!D:D, MATCH($E125, Data!$B:$B, 0)), "")</f>
        <v/>
      </c>
      <c r="H125" s="9" t="str">
        <f t="array" ref="H125">IFERROR(INDEX(Data!E:E, MATCH($E125, Data!$B:$B, 0)), "")</f>
        <v/>
      </c>
      <c r="I125" s="9" t="str">
        <f t="shared" si="1"/>
        <v/>
      </c>
      <c r="J125" s="9" t="str">
        <f t="shared" si="2"/>
        <v>#REF!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12">
        <v>124.0</v>
      </c>
      <c r="B126" s="13">
        <v>124.0</v>
      </c>
      <c r="C126" s="9" t="str">
        <f t="array" ref="C126">IFERROR(INDEX(Data!F:F, MATCH($E126, Data!$B:$B, 0)), "")</f>
        <v/>
      </c>
      <c r="D126" s="9" t="str">
        <f t="array" ref="D126">IFERROR(INDEX(Data!A:A, MATCH($E126, Data!$B:$B, 0)), "")</f>
        <v/>
      </c>
      <c r="E126" s="9" t="str">
        <f>LARGE(Data!$B$2:$B1000,A126 )</f>
        <v>#NUM!</v>
      </c>
      <c r="F126" s="9" t="str">
        <f t="array" ref="F126">IFERROR(INDEX(Data!C:C, MATCH($E126, Data!$B:$B, 0)), "")</f>
        <v/>
      </c>
      <c r="G126" s="9" t="str">
        <f t="array" ref="G126">IFERROR(INDEX(Data!D:D, MATCH($E126, Data!$B:$B, 0)), "")</f>
        <v/>
      </c>
      <c r="H126" s="9" t="str">
        <f t="array" ref="H126">IFERROR(INDEX(Data!E:E, MATCH($E126, Data!$B:$B, 0)), "")</f>
        <v/>
      </c>
      <c r="I126" s="9" t="str">
        <f t="shared" si="1"/>
        <v/>
      </c>
      <c r="J126" s="9" t="str">
        <f t="shared" si="2"/>
        <v>#REF!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12">
        <v>125.0</v>
      </c>
      <c r="B127" s="13">
        <v>125.0</v>
      </c>
      <c r="C127" s="9" t="str">
        <f t="array" ref="C127">IFERROR(INDEX(Data!F:F, MATCH($E127, Data!$B:$B, 0)), "")</f>
        <v/>
      </c>
      <c r="D127" s="9" t="str">
        <f t="array" ref="D127">IFERROR(INDEX(Data!A:A, MATCH($E127, Data!$B:$B, 0)), "")</f>
        <v/>
      </c>
      <c r="E127" s="9" t="str">
        <f>LARGE(Data!$B$2:$B1000,A127 )</f>
        <v>#NUM!</v>
      </c>
      <c r="F127" s="9" t="str">
        <f t="array" ref="F127">IFERROR(INDEX(Data!C:C, MATCH($E127, Data!$B:$B, 0)), "")</f>
        <v/>
      </c>
      <c r="G127" s="9" t="str">
        <f t="array" ref="G127">IFERROR(INDEX(Data!D:D, MATCH($E127, Data!$B:$B, 0)), "")</f>
        <v/>
      </c>
      <c r="H127" s="9" t="str">
        <f t="array" ref="H127">IFERROR(INDEX(Data!E:E, MATCH($E127, Data!$B:$B, 0)), "")</f>
        <v/>
      </c>
      <c r="I127" s="9" t="str">
        <f t="shared" si="1"/>
        <v/>
      </c>
      <c r="J127" s="9" t="str">
        <f t="shared" si="2"/>
        <v>#REF!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12">
        <v>126.0</v>
      </c>
      <c r="B128" s="13">
        <v>126.0</v>
      </c>
      <c r="C128" s="9" t="str">
        <f t="array" ref="C128">IFERROR(INDEX(Data!F:F, MATCH($E128, Data!$B:$B, 0)), "")</f>
        <v/>
      </c>
      <c r="D128" s="9" t="str">
        <f t="array" ref="D128">IFERROR(INDEX(Data!A:A, MATCH($E128, Data!$B:$B, 0)), "")</f>
        <v/>
      </c>
      <c r="E128" s="9" t="str">
        <f>LARGE(Data!$B$2:$B1000,A128 )</f>
        <v>#NUM!</v>
      </c>
      <c r="F128" s="9" t="str">
        <f t="array" ref="F128">IFERROR(INDEX(Data!C:C, MATCH($E128, Data!$B:$B, 0)), "")</f>
        <v/>
      </c>
      <c r="G128" s="9" t="str">
        <f t="array" ref="G128">IFERROR(INDEX(Data!D:D, MATCH($E128, Data!$B:$B, 0)), "")</f>
        <v/>
      </c>
      <c r="H128" s="9" t="str">
        <f t="array" ref="H128">IFERROR(INDEX(Data!E:E, MATCH($E128, Data!$B:$B, 0)), "")</f>
        <v/>
      </c>
      <c r="I128" s="9" t="str">
        <f t="shared" si="1"/>
        <v/>
      </c>
      <c r="J128" s="9" t="str">
        <f t="shared" si="2"/>
        <v>#REF!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12">
        <v>127.0</v>
      </c>
      <c r="B129" s="13">
        <v>127.0</v>
      </c>
      <c r="C129" s="9" t="str">
        <f t="array" ref="C129">IFERROR(INDEX(Data!F:F, MATCH($E129, Data!$B:$B, 0)), "")</f>
        <v/>
      </c>
      <c r="D129" s="9" t="str">
        <f t="array" ref="D129">IFERROR(INDEX(Data!A:A, MATCH($E129, Data!$B:$B, 0)), "")</f>
        <v/>
      </c>
      <c r="E129" s="9" t="str">
        <f>LARGE(Data!$B$2:$B1000,A129 )</f>
        <v>#NUM!</v>
      </c>
      <c r="F129" s="9" t="str">
        <f t="array" ref="F129">IFERROR(INDEX(Data!C:C, MATCH($E129, Data!$B:$B, 0)), "")</f>
        <v/>
      </c>
      <c r="G129" s="9" t="str">
        <f t="array" ref="G129">IFERROR(INDEX(Data!D:D, MATCH($E129, Data!$B:$B, 0)), "")</f>
        <v/>
      </c>
      <c r="H129" s="9" t="str">
        <f t="array" ref="H129">IFERROR(INDEX(Data!E:E, MATCH($E129, Data!$B:$B, 0)), "")</f>
        <v/>
      </c>
      <c r="I129" s="9" t="str">
        <f t="shared" si="1"/>
        <v/>
      </c>
      <c r="J129" s="9" t="str">
        <f t="shared" si="2"/>
        <v>#REF!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12">
        <v>128.0</v>
      </c>
      <c r="B130" s="13">
        <v>128.0</v>
      </c>
      <c r="C130" s="9" t="str">
        <f t="array" ref="C130">IFERROR(INDEX(Data!F:F, MATCH($E130, Data!$B:$B, 0)), "")</f>
        <v/>
      </c>
      <c r="D130" s="9" t="str">
        <f t="array" ref="D130">IFERROR(INDEX(Data!A:A, MATCH($E130, Data!$B:$B, 0)), "")</f>
        <v/>
      </c>
      <c r="E130" s="9" t="str">
        <f>LARGE(Data!$B$2:$B1000,A130 )</f>
        <v>#NUM!</v>
      </c>
      <c r="F130" s="9" t="str">
        <f t="array" ref="F130">IFERROR(INDEX(Data!C:C, MATCH($E130, Data!$B:$B, 0)), "")</f>
        <v/>
      </c>
      <c r="G130" s="9" t="str">
        <f t="array" ref="G130">IFERROR(INDEX(Data!D:D, MATCH($E130, Data!$B:$B, 0)), "")</f>
        <v/>
      </c>
      <c r="H130" s="9" t="str">
        <f t="array" ref="H130">IFERROR(INDEX(Data!E:E, MATCH($E130, Data!$B:$B, 0)), "")</f>
        <v/>
      </c>
      <c r="I130" s="9" t="str">
        <f t="shared" si="1"/>
        <v/>
      </c>
      <c r="J130" s="9" t="str">
        <f t="shared" si="2"/>
        <v>#REF!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12">
        <v>129.0</v>
      </c>
      <c r="B131" s="13">
        <v>129.0</v>
      </c>
      <c r="C131" s="9" t="str">
        <f t="array" ref="C131">IFERROR(INDEX(Data!F:F, MATCH($E131, Data!$B:$B, 0)), "")</f>
        <v/>
      </c>
      <c r="D131" s="9" t="str">
        <f t="array" ref="D131">IFERROR(INDEX(Data!A:A, MATCH($E131, Data!$B:$B, 0)), "")</f>
        <v/>
      </c>
      <c r="E131" s="9" t="str">
        <f>LARGE(Data!$B$2:$B1000,A131 )</f>
        <v>#NUM!</v>
      </c>
      <c r="F131" s="9" t="str">
        <f t="array" ref="F131">IFERROR(INDEX(Data!C:C, MATCH($E131, Data!$B:$B, 0)), "")</f>
        <v/>
      </c>
      <c r="G131" s="9" t="str">
        <f t="array" ref="G131">IFERROR(INDEX(Data!D:D, MATCH($E131, Data!$B:$B, 0)), "")</f>
        <v/>
      </c>
      <c r="H131" s="9" t="str">
        <f t="array" ref="H131">IFERROR(INDEX(Data!E:E, MATCH($E131, Data!$B:$B, 0)), "")</f>
        <v/>
      </c>
      <c r="I131" s="9" t="str">
        <f t="shared" si="1"/>
        <v/>
      </c>
      <c r="J131" s="9" t="str">
        <f t="shared" si="2"/>
        <v>#REF!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12">
        <v>130.0</v>
      </c>
      <c r="B132" s="13">
        <v>130.0</v>
      </c>
      <c r="C132" s="9" t="str">
        <f t="array" ref="C132">IFERROR(INDEX(Data!F:F, MATCH($E132, Data!$B:$B, 0)), "")</f>
        <v/>
      </c>
      <c r="D132" s="9" t="str">
        <f t="array" ref="D132">IFERROR(INDEX(Data!A:A, MATCH($E132, Data!$B:$B, 0)), "")</f>
        <v/>
      </c>
      <c r="E132" s="9" t="str">
        <f>LARGE(Data!$B$2:$B1000,A132 )</f>
        <v>#NUM!</v>
      </c>
      <c r="F132" s="9" t="str">
        <f t="array" ref="F132">IFERROR(INDEX(Data!C:C, MATCH($E132, Data!$B:$B, 0)), "")</f>
        <v/>
      </c>
      <c r="G132" s="9" t="str">
        <f t="array" ref="G132">IFERROR(INDEX(Data!D:D, MATCH($E132, Data!$B:$B, 0)), "")</f>
        <v/>
      </c>
      <c r="H132" s="9" t="str">
        <f t="array" ref="H132">IFERROR(INDEX(Data!E:E, MATCH($E132, Data!$B:$B, 0)), "")</f>
        <v/>
      </c>
      <c r="I132" s="9" t="str">
        <f t="shared" si="1"/>
        <v/>
      </c>
      <c r="J132" s="9" t="str">
        <f t="shared" si="2"/>
        <v>#REF!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12">
        <v>131.0</v>
      </c>
      <c r="B133" s="13">
        <v>131.0</v>
      </c>
      <c r="C133" s="9" t="str">
        <f t="array" ref="C133">IFERROR(INDEX(Data!F:F, MATCH($E133, Data!$B:$B, 0)), "")</f>
        <v/>
      </c>
      <c r="D133" s="9" t="str">
        <f t="array" ref="D133">IFERROR(INDEX(Data!A:A, MATCH($E133, Data!$B:$B, 0)), "")</f>
        <v/>
      </c>
      <c r="E133" s="9" t="str">
        <f>LARGE(Data!$B$2:$B1000,A133 )</f>
        <v>#NUM!</v>
      </c>
      <c r="F133" s="9" t="str">
        <f t="array" ref="F133">IFERROR(INDEX(Data!C:C, MATCH($E133, Data!$B:$B, 0)), "")</f>
        <v/>
      </c>
      <c r="G133" s="9" t="str">
        <f t="array" ref="G133">IFERROR(INDEX(Data!D:D, MATCH($E133, Data!$B:$B, 0)), "")</f>
        <v/>
      </c>
      <c r="H133" s="9" t="str">
        <f t="array" ref="H133">IFERROR(INDEX(Data!E:E, MATCH($E133, Data!$B:$B, 0)), "")</f>
        <v/>
      </c>
      <c r="I133" s="9" t="str">
        <f t="shared" si="1"/>
        <v/>
      </c>
      <c r="J133" s="9" t="str">
        <f t="shared" si="2"/>
        <v>#REF!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12">
        <v>132.0</v>
      </c>
      <c r="B134" s="13">
        <v>132.0</v>
      </c>
      <c r="C134" s="9" t="str">
        <f t="array" ref="C134">IFERROR(INDEX(Data!F:F, MATCH($E134, Data!$B:$B, 0)), "")</f>
        <v/>
      </c>
      <c r="D134" s="9" t="str">
        <f t="array" ref="D134">IFERROR(INDEX(Data!A:A, MATCH($E134, Data!$B:$B, 0)), "")</f>
        <v/>
      </c>
      <c r="E134" s="9" t="str">
        <f>LARGE(Data!$B$2:$B1000,A134 )</f>
        <v>#NUM!</v>
      </c>
      <c r="F134" s="9" t="str">
        <f t="array" ref="F134">IFERROR(INDEX(Data!C:C, MATCH($E134, Data!$B:$B, 0)), "")</f>
        <v/>
      </c>
      <c r="G134" s="9" t="str">
        <f t="array" ref="G134">IFERROR(INDEX(Data!D:D, MATCH($E134, Data!$B:$B, 0)), "")</f>
        <v/>
      </c>
      <c r="H134" s="9" t="str">
        <f t="array" ref="H134">IFERROR(INDEX(Data!E:E, MATCH($E134, Data!$B:$B, 0)), "")</f>
        <v/>
      </c>
      <c r="I134" s="9" t="str">
        <f t="shared" si="1"/>
        <v/>
      </c>
      <c r="J134" s="9" t="str">
        <f t="shared" si="2"/>
        <v>#REF!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12">
        <v>133.0</v>
      </c>
      <c r="B135" s="13">
        <v>133.0</v>
      </c>
      <c r="C135" s="9" t="str">
        <f t="array" ref="C135">IFERROR(INDEX(Data!F:F, MATCH($E135, Data!$B:$B, 0)), "")</f>
        <v/>
      </c>
      <c r="D135" s="9" t="str">
        <f t="array" ref="D135">IFERROR(INDEX(Data!A:A, MATCH($E135, Data!$B:$B, 0)), "")</f>
        <v/>
      </c>
      <c r="E135" s="9" t="str">
        <f>LARGE(Data!$B$2:$B1000,A135 )</f>
        <v>#NUM!</v>
      </c>
      <c r="F135" s="9" t="str">
        <f t="array" ref="F135">IFERROR(INDEX(Data!C:C, MATCH($E135, Data!$B:$B, 0)), "")</f>
        <v/>
      </c>
      <c r="G135" s="9" t="str">
        <f t="array" ref="G135">IFERROR(INDEX(Data!D:D, MATCH($E135, Data!$B:$B, 0)), "")</f>
        <v/>
      </c>
      <c r="H135" s="9" t="str">
        <f t="array" ref="H135">IFERROR(INDEX(Data!E:E, MATCH($E135, Data!$B:$B, 0)), "")</f>
        <v/>
      </c>
      <c r="I135" s="9" t="str">
        <f t="shared" si="1"/>
        <v/>
      </c>
      <c r="J135" s="9" t="str">
        <f t="shared" si="2"/>
        <v>#REF!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12">
        <v>134.0</v>
      </c>
      <c r="B136" s="13">
        <v>134.0</v>
      </c>
      <c r="C136" s="9" t="str">
        <f t="array" ref="C136">IFERROR(INDEX(Data!F:F, MATCH($E136, Data!$B:$B, 0)), "")</f>
        <v/>
      </c>
      <c r="D136" s="9" t="str">
        <f t="array" ref="D136">IFERROR(INDEX(Data!A:A, MATCH($E136, Data!$B:$B, 0)), "")</f>
        <v/>
      </c>
      <c r="E136" s="9" t="str">
        <f>LARGE(Data!$B$2:$B1000,A136 )</f>
        <v>#NUM!</v>
      </c>
      <c r="F136" s="9" t="str">
        <f t="array" ref="F136">IFERROR(INDEX(Data!C:C, MATCH($E136, Data!$B:$B, 0)), "")</f>
        <v/>
      </c>
      <c r="G136" s="9" t="str">
        <f t="array" ref="G136">IFERROR(INDEX(Data!D:D, MATCH($E136, Data!$B:$B, 0)), "")</f>
        <v/>
      </c>
      <c r="H136" s="9" t="str">
        <f t="array" ref="H136">IFERROR(INDEX(Data!E:E, MATCH($E136, Data!$B:$B, 0)), "")</f>
        <v/>
      </c>
      <c r="I136" s="9" t="str">
        <f t="shared" si="1"/>
        <v/>
      </c>
      <c r="J136" s="9" t="str">
        <f t="shared" si="2"/>
        <v>#REF!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12">
        <v>135.0</v>
      </c>
      <c r="B137" s="13">
        <v>135.0</v>
      </c>
      <c r="C137" s="9" t="str">
        <f t="array" ref="C137">IFERROR(INDEX(Data!F:F, MATCH($E137, Data!$B:$B, 0)), "")</f>
        <v/>
      </c>
      <c r="D137" s="9" t="str">
        <f t="array" ref="D137">IFERROR(INDEX(Data!A:A, MATCH($E137, Data!$B:$B, 0)), "")</f>
        <v/>
      </c>
      <c r="E137" s="9" t="str">
        <f>LARGE(Data!$B$2:$B1000,A137 )</f>
        <v>#NUM!</v>
      </c>
      <c r="F137" s="9" t="str">
        <f t="array" ref="F137">IFERROR(INDEX(Data!C:C, MATCH($E137, Data!$B:$B, 0)), "")</f>
        <v/>
      </c>
      <c r="G137" s="9" t="str">
        <f t="array" ref="G137">IFERROR(INDEX(Data!D:D, MATCH($E137, Data!$B:$B, 0)), "")</f>
        <v/>
      </c>
      <c r="H137" s="9" t="str">
        <f t="array" ref="H137">IFERROR(INDEX(Data!E:E, MATCH($E137, Data!$B:$B, 0)), "")</f>
        <v/>
      </c>
      <c r="I137" s="9" t="str">
        <f t="shared" si="1"/>
        <v/>
      </c>
      <c r="J137" s="9" t="str">
        <f t="shared" si="2"/>
        <v>#REF!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12">
        <v>136.0</v>
      </c>
      <c r="B138" s="13">
        <v>136.0</v>
      </c>
      <c r="C138" s="9" t="str">
        <f t="array" ref="C138">IFERROR(INDEX(Data!F:F, MATCH($E138, Data!$B:$B, 0)), "")</f>
        <v/>
      </c>
      <c r="D138" s="9" t="str">
        <f t="array" ref="D138">IFERROR(INDEX(Data!A:A, MATCH($E138, Data!$B:$B, 0)), "")</f>
        <v/>
      </c>
      <c r="E138" s="9" t="str">
        <f>LARGE(Data!$B$2:$B1000,A138 )</f>
        <v>#NUM!</v>
      </c>
      <c r="F138" s="9" t="str">
        <f t="array" ref="F138">IFERROR(INDEX(Data!C:C, MATCH($E138, Data!$B:$B, 0)), "")</f>
        <v/>
      </c>
      <c r="G138" s="9" t="str">
        <f t="array" ref="G138">IFERROR(INDEX(Data!D:D, MATCH($E138, Data!$B:$B, 0)), "")</f>
        <v/>
      </c>
      <c r="H138" s="9" t="str">
        <f t="array" ref="H138">IFERROR(INDEX(Data!E:E, MATCH($E138, Data!$B:$B, 0)), "")</f>
        <v/>
      </c>
      <c r="I138" s="9" t="str">
        <f t="shared" si="1"/>
        <v/>
      </c>
      <c r="J138" s="9" t="str">
        <f t="shared" si="2"/>
        <v>#REF!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12">
        <v>137.0</v>
      </c>
      <c r="B139" s="13">
        <v>137.0</v>
      </c>
      <c r="C139" s="9" t="str">
        <f t="array" ref="C139">IFERROR(INDEX(Data!F:F, MATCH($E139, Data!$B:$B, 0)), "")</f>
        <v/>
      </c>
      <c r="D139" s="9" t="str">
        <f t="array" ref="D139">IFERROR(INDEX(Data!A:A, MATCH($E139, Data!$B:$B, 0)), "")</f>
        <v/>
      </c>
      <c r="E139" s="9" t="str">
        <f>LARGE(Data!$B$2:$B1000,A139 )</f>
        <v>#NUM!</v>
      </c>
      <c r="F139" s="9" t="str">
        <f t="array" ref="F139">IFERROR(INDEX(Data!C:C, MATCH($E139, Data!$B:$B, 0)), "")</f>
        <v/>
      </c>
      <c r="G139" s="9" t="str">
        <f t="array" ref="G139">IFERROR(INDEX(Data!D:D, MATCH($E139, Data!$B:$B, 0)), "")</f>
        <v/>
      </c>
      <c r="H139" s="9" t="str">
        <f t="array" ref="H139">IFERROR(INDEX(Data!E:E, MATCH($E139, Data!$B:$B, 0)), "")</f>
        <v/>
      </c>
      <c r="I139" s="9" t="str">
        <f t="shared" si="1"/>
        <v/>
      </c>
      <c r="J139" s="9" t="str">
        <f t="shared" si="2"/>
        <v>#REF!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12">
        <v>138.0</v>
      </c>
      <c r="B140" s="13">
        <v>138.0</v>
      </c>
      <c r="C140" s="9" t="str">
        <f t="array" ref="C140">IFERROR(INDEX(Data!F:F, MATCH($E140, Data!$B:$B, 0)), "")</f>
        <v/>
      </c>
      <c r="D140" s="9" t="str">
        <f t="array" ref="D140">IFERROR(INDEX(Data!A:A, MATCH($E140, Data!$B:$B, 0)), "")</f>
        <v/>
      </c>
      <c r="E140" s="9" t="str">
        <f>LARGE(Data!$B$2:$B1000,A140 )</f>
        <v>#NUM!</v>
      </c>
      <c r="F140" s="9" t="str">
        <f t="array" ref="F140">IFERROR(INDEX(Data!C:C, MATCH($E140, Data!$B:$B, 0)), "")</f>
        <v/>
      </c>
      <c r="G140" s="9" t="str">
        <f t="array" ref="G140">IFERROR(INDEX(Data!D:D, MATCH($E140, Data!$B:$B, 0)), "")</f>
        <v/>
      </c>
      <c r="H140" s="9" t="str">
        <f t="array" ref="H140">IFERROR(INDEX(Data!E:E, MATCH($E140, Data!$B:$B, 0)), "")</f>
        <v/>
      </c>
      <c r="I140" s="9" t="str">
        <f t="shared" si="1"/>
        <v/>
      </c>
      <c r="J140" s="9" t="str">
        <f t="shared" si="2"/>
        <v>#REF!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12">
        <v>139.0</v>
      </c>
      <c r="B141" s="13">
        <v>139.0</v>
      </c>
      <c r="C141" s="9" t="str">
        <f t="array" ref="C141">IFERROR(INDEX(Data!F:F, MATCH($E141, Data!$B:$B, 0)), "")</f>
        <v/>
      </c>
      <c r="D141" s="9" t="str">
        <f t="array" ref="D141">IFERROR(INDEX(Data!A:A, MATCH($E141, Data!$B:$B, 0)), "")</f>
        <v/>
      </c>
      <c r="E141" s="9" t="str">
        <f>LARGE(Data!$B$2:$B1000,A141 )</f>
        <v>#NUM!</v>
      </c>
      <c r="F141" s="9" t="str">
        <f t="array" ref="F141">IFERROR(INDEX(Data!C:C, MATCH($E141, Data!$B:$B, 0)), "")</f>
        <v/>
      </c>
      <c r="G141" s="9" t="str">
        <f t="array" ref="G141">IFERROR(INDEX(Data!D:D, MATCH($E141, Data!$B:$B, 0)), "")</f>
        <v/>
      </c>
      <c r="H141" s="9" t="str">
        <f t="array" ref="H141">IFERROR(INDEX(Data!E:E, MATCH($E141, Data!$B:$B, 0)), "")</f>
        <v/>
      </c>
      <c r="I141" s="9" t="str">
        <f t="shared" si="1"/>
        <v/>
      </c>
      <c r="J141" s="9" t="str">
        <f t="shared" si="2"/>
        <v>#REF!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12">
        <v>140.0</v>
      </c>
      <c r="B142" s="13">
        <v>140.0</v>
      </c>
      <c r="C142" s="9" t="str">
        <f t="array" ref="C142">IFERROR(INDEX(Data!F:F, MATCH($E142, Data!$B:$B, 0)), "")</f>
        <v/>
      </c>
      <c r="D142" s="9" t="str">
        <f t="array" ref="D142">IFERROR(INDEX(Data!A:A, MATCH($E142, Data!$B:$B, 0)), "")</f>
        <v/>
      </c>
      <c r="E142" s="9" t="str">
        <f>LARGE(Data!$B$2:$B1000,A142 )</f>
        <v>#NUM!</v>
      </c>
      <c r="F142" s="9" t="str">
        <f t="array" ref="F142">IFERROR(INDEX(Data!C:C, MATCH($E142, Data!$B:$B, 0)), "")</f>
        <v/>
      </c>
      <c r="G142" s="9" t="str">
        <f t="array" ref="G142">IFERROR(INDEX(Data!D:D, MATCH($E142, Data!$B:$B, 0)), "")</f>
        <v/>
      </c>
      <c r="H142" s="9" t="str">
        <f t="array" ref="H142">IFERROR(INDEX(Data!E:E, MATCH($E142, Data!$B:$B, 0)), "")</f>
        <v/>
      </c>
      <c r="I142" s="9" t="str">
        <f t="shared" si="1"/>
        <v/>
      </c>
      <c r="J142" s="9" t="str">
        <f t="shared" si="2"/>
        <v>#REF!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12">
        <v>141.0</v>
      </c>
      <c r="B143" s="13">
        <v>141.0</v>
      </c>
      <c r="C143" s="9" t="str">
        <f t="array" ref="C143">IFERROR(INDEX(Data!F:F, MATCH($E143, Data!$B:$B, 0)), "")</f>
        <v/>
      </c>
      <c r="D143" s="9" t="str">
        <f t="array" ref="D143">IFERROR(INDEX(Data!A:A, MATCH($E143, Data!$B:$B, 0)), "")</f>
        <v/>
      </c>
      <c r="E143" s="9" t="str">
        <f>LARGE(Data!$B$2:$B1000,A143 )</f>
        <v>#NUM!</v>
      </c>
      <c r="F143" s="9" t="str">
        <f t="array" ref="F143">IFERROR(INDEX(Data!C:C, MATCH($E143, Data!$B:$B, 0)), "")</f>
        <v/>
      </c>
      <c r="G143" s="9" t="str">
        <f t="array" ref="G143">IFERROR(INDEX(Data!D:D, MATCH($E143, Data!$B:$B, 0)), "")</f>
        <v/>
      </c>
      <c r="H143" s="9" t="str">
        <f t="array" ref="H143">IFERROR(INDEX(Data!E:E, MATCH($E143, Data!$B:$B, 0)), "")</f>
        <v/>
      </c>
      <c r="I143" s="9" t="str">
        <f t="shared" si="1"/>
        <v/>
      </c>
      <c r="J143" s="9" t="str">
        <f t="shared" si="2"/>
        <v>#REF!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12">
        <v>142.0</v>
      </c>
      <c r="B144" s="13">
        <v>142.0</v>
      </c>
      <c r="C144" s="9" t="str">
        <f t="array" ref="C144">IFERROR(INDEX(Data!F:F, MATCH($E144, Data!$B:$B, 0)), "")</f>
        <v/>
      </c>
      <c r="D144" s="9" t="str">
        <f t="array" ref="D144">IFERROR(INDEX(Data!A:A, MATCH($E144, Data!$B:$B, 0)), "")</f>
        <v/>
      </c>
      <c r="E144" s="9" t="str">
        <f>LARGE(Data!$B$2:$B1000,A144 )</f>
        <v>#NUM!</v>
      </c>
      <c r="F144" s="9" t="str">
        <f t="array" ref="F144">IFERROR(INDEX(Data!C:C, MATCH($E144, Data!$B:$B, 0)), "")</f>
        <v/>
      </c>
      <c r="G144" s="9" t="str">
        <f t="array" ref="G144">IFERROR(INDEX(Data!D:D, MATCH($E144, Data!$B:$B, 0)), "")</f>
        <v/>
      </c>
      <c r="H144" s="9" t="str">
        <f t="array" ref="H144">IFERROR(INDEX(Data!E:E, MATCH($E144, Data!$B:$B, 0)), "")</f>
        <v/>
      </c>
      <c r="I144" s="9" t="str">
        <f t="shared" si="1"/>
        <v/>
      </c>
      <c r="J144" s="9" t="str">
        <f t="shared" si="2"/>
        <v>#REF!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12">
        <v>143.0</v>
      </c>
      <c r="B145" s="13">
        <v>143.0</v>
      </c>
      <c r="C145" s="9" t="str">
        <f t="array" ref="C145">IFERROR(INDEX(Data!F:F, MATCH($E145, Data!$B:$B, 0)), "")</f>
        <v/>
      </c>
      <c r="D145" s="9" t="str">
        <f t="array" ref="D145">IFERROR(INDEX(Data!A:A, MATCH($E145, Data!$B:$B, 0)), "")</f>
        <v/>
      </c>
      <c r="E145" s="9" t="str">
        <f>LARGE(Data!$B$2:$B1000,A145 )</f>
        <v>#NUM!</v>
      </c>
      <c r="F145" s="9" t="str">
        <f t="array" ref="F145">IFERROR(INDEX(Data!C:C, MATCH($E145, Data!$B:$B, 0)), "")</f>
        <v/>
      </c>
      <c r="G145" s="9" t="str">
        <f t="array" ref="G145">IFERROR(INDEX(Data!D:D, MATCH($E145, Data!$B:$B, 0)), "")</f>
        <v/>
      </c>
      <c r="H145" s="9" t="str">
        <f t="array" ref="H145">IFERROR(INDEX(Data!E:E, MATCH($E145, Data!$B:$B, 0)), "")</f>
        <v/>
      </c>
      <c r="I145" s="9" t="str">
        <f t="shared" si="1"/>
        <v/>
      </c>
      <c r="J145" s="9" t="str">
        <f t="shared" si="2"/>
        <v>#REF!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12">
        <v>144.0</v>
      </c>
      <c r="B146" s="13">
        <v>144.0</v>
      </c>
      <c r="C146" s="9" t="str">
        <f t="array" ref="C146">IFERROR(INDEX(Data!F:F, MATCH($E146, Data!$B:$B, 0)), "")</f>
        <v/>
      </c>
      <c r="D146" s="9" t="str">
        <f t="array" ref="D146">IFERROR(INDEX(Data!A:A, MATCH($E146, Data!$B:$B, 0)), "")</f>
        <v/>
      </c>
      <c r="E146" s="9" t="str">
        <f>LARGE(Data!$B$2:$B1000,A146 )</f>
        <v>#NUM!</v>
      </c>
      <c r="F146" s="9" t="str">
        <f t="array" ref="F146">IFERROR(INDEX(Data!C:C, MATCH($E146, Data!$B:$B, 0)), "")</f>
        <v/>
      </c>
      <c r="G146" s="9" t="str">
        <f t="array" ref="G146">IFERROR(INDEX(Data!D:D, MATCH($E146, Data!$B:$B, 0)), "")</f>
        <v/>
      </c>
      <c r="H146" s="9" t="str">
        <f t="array" ref="H146">IFERROR(INDEX(Data!E:E, MATCH($E146, Data!$B:$B, 0)), "")</f>
        <v/>
      </c>
      <c r="I146" s="9" t="str">
        <f t="shared" si="1"/>
        <v/>
      </c>
      <c r="J146" s="9" t="str">
        <f t="shared" si="2"/>
        <v>#REF!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12">
        <v>145.0</v>
      </c>
      <c r="B147" s="13">
        <v>145.0</v>
      </c>
      <c r="C147" s="9" t="str">
        <f t="array" ref="C147">IFERROR(INDEX(Data!F:F, MATCH($E147, Data!$B:$B, 0)), "")</f>
        <v/>
      </c>
      <c r="D147" s="9" t="str">
        <f t="array" ref="D147">IFERROR(INDEX(Data!A:A, MATCH($E147, Data!$B:$B, 0)), "")</f>
        <v/>
      </c>
      <c r="E147" s="9" t="str">
        <f>LARGE(Data!$B$2:$B1000,A147 )</f>
        <v>#NUM!</v>
      </c>
      <c r="F147" s="9" t="str">
        <f t="array" ref="F147">IFERROR(INDEX(Data!C:C, MATCH($E147, Data!$B:$B, 0)), "")</f>
        <v/>
      </c>
      <c r="G147" s="9" t="str">
        <f t="array" ref="G147">IFERROR(INDEX(Data!D:D, MATCH($E147, Data!$B:$B, 0)), "")</f>
        <v/>
      </c>
      <c r="H147" s="9" t="str">
        <f t="array" ref="H147">IFERROR(INDEX(Data!E:E, MATCH($E147, Data!$B:$B, 0)), "")</f>
        <v/>
      </c>
      <c r="I147" s="9" t="str">
        <f t="shared" si="1"/>
        <v/>
      </c>
      <c r="J147" s="9" t="str">
        <f t="shared" si="2"/>
        <v>#REF!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12">
        <v>146.0</v>
      </c>
      <c r="B148" s="13">
        <v>146.0</v>
      </c>
      <c r="C148" s="9" t="str">
        <f t="array" ref="C148">IFERROR(INDEX(Data!F:F, MATCH($E148, Data!$B:$B, 0)), "")</f>
        <v/>
      </c>
      <c r="D148" s="9" t="str">
        <f t="array" ref="D148">IFERROR(INDEX(Data!A:A, MATCH($E148, Data!$B:$B, 0)), "")</f>
        <v/>
      </c>
      <c r="E148" s="9" t="str">
        <f>LARGE(Data!$B$2:$B1000,A148 )</f>
        <v>#NUM!</v>
      </c>
      <c r="F148" s="9" t="str">
        <f t="array" ref="F148">IFERROR(INDEX(Data!C:C, MATCH($E148, Data!$B:$B, 0)), "")</f>
        <v/>
      </c>
      <c r="G148" s="9" t="str">
        <f t="array" ref="G148">IFERROR(INDEX(Data!D:D, MATCH($E148, Data!$B:$B, 0)), "")</f>
        <v/>
      </c>
      <c r="H148" s="9" t="str">
        <f t="array" ref="H148">IFERROR(INDEX(Data!E:E, MATCH($E148, Data!$B:$B, 0)), "")</f>
        <v/>
      </c>
      <c r="I148" s="9" t="str">
        <f t="shared" si="1"/>
        <v/>
      </c>
      <c r="J148" s="9" t="str">
        <f t="shared" si="2"/>
        <v>#REF!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12">
        <v>147.0</v>
      </c>
      <c r="B149" s="13">
        <v>147.0</v>
      </c>
      <c r="C149" s="9" t="str">
        <f t="array" ref="C149">IFERROR(INDEX(Data!F:F, MATCH($E149, Data!$B:$B, 0)), "")</f>
        <v/>
      </c>
      <c r="D149" s="9" t="str">
        <f t="array" ref="D149">IFERROR(INDEX(Data!A:A, MATCH($E149, Data!$B:$B, 0)), "")</f>
        <v/>
      </c>
      <c r="E149" s="9" t="str">
        <f>LARGE(Data!$B$2:$B1000,A149 )</f>
        <v>#NUM!</v>
      </c>
      <c r="F149" s="9" t="str">
        <f t="array" ref="F149">IFERROR(INDEX(Data!C:C, MATCH($E149, Data!$B:$B, 0)), "")</f>
        <v/>
      </c>
      <c r="G149" s="9" t="str">
        <f t="array" ref="G149">IFERROR(INDEX(Data!D:D, MATCH($E149, Data!$B:$B, 0)), "")</f>
        <v/>
      </c>
      <c r="H149" s="9" t="str">
        <f t="array" ref="H149">IFERROR(INDEX(Data!E:E, MATCH($E149, Data!$B:$B, 0)), "")</f>
        <v/>
      </c>
      <c r="I149" s="9" t="str">
        <f t="shared" si="1"/>
        <v/>
      </c>
      <c r="J149" s="9" t="str">
        <f t="shared" si="2"/>
        <v>#REF!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12">
        <v>148.0</v>
      </c>
      <c r="B150" s="13">
        <v>148.0</v>
      </c>
      <c r="C150" s="9" t="str">
        <f t="array" ref="C150">IFERROR(INDEX(Data!F:F, MATCH($E150, Data!$B:$B, 0)), "")</f>
        <v/>
      </c>
      <c r="D150" s="9" t="str">
        <f t="array" ref="D150">IFERROR(INDEX(Data!A:A, MATCH($E150, Data!$B:$B, 0)), "")</f>
        <v/>
      </c>
      <c r="E150" s="9" t="str">
        <f>LARGE(Data!$B$2:$B1000,A150 )</f>
        <v>#NUM!</v>
      </c>
      <c r="F150" s="9" t="str">
        <f t="array" ref="F150">IFERROR(INDEX(Data!C:C, MATCH($E150, Data!$B:$B, 0)), "")</f>
        <v/>
      </c>
      <c r="G150" s="9" t="str">
        <f t="array" ref="G150">IFERROR(INDEX(Data!D:D, MATCH($E150, Data!$B:$B, 0)), "")</f>
        <v/>
      </c>
      <c r="H150" s="9" t="str">
        <f t="array" ref="H150">IFERROR(INDEX(Data!E:E, MATCH($E150, Data!$B:$B, 0)), "")</f>
        <v/>
      </c>
      <c r="I150" s="9" t="str">
        <f t="shared" si="1"/>
        <v/>
      </c>
      <c r="J150" s="9" t="str">
        <f t="shared" si="2"/>
        <v>#REF!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12">
        <v>149.0</v>
      </c>
      <c r="B151" s="13">
        <v>149.0</v>
      </c>
      <c r="C151" s="9" t="str">
        <f t="array" ref="C151">IFERROR(INDEX(Data!F:F, MATCH($E151, Data!$B:$B, 0)), "")</f>
        <v/>
      </c>
      <c r="D151" s="9" t="str">
        <f t="array" ref="D151">IFERROR(INDEX(Data!A:A, MATCH($E151, Data!$B:$B, 0)), "")</f>
        <v/>
      </c>
      <c r="E151" s="9" t="str">
        <f>LARGE(Data!$B$2:$B1000,A151 )</f>
        <v>#NUM!</v>
      </c>
      <c r="F151" s="9" t="str">
        <f t="array" ref="F151">IFERROR(INDEX(Data!C:C, MATCH($E151, Data!$B:$B, 0)), "")</f>
        <v/>
      </c>
      <c r="G151" s="9" t="str">
        <f t="array" ref="G151">IFERROR(INDEX(Data!D:D, MATCH($E151, Data!$B:$B, 0)), "")</f>
        <v/>
      </c>
      <c r="H151" s="9" t="str">
        <f t="array" ref="H151">IFERROR(INDEX(Data!E:E, MATCH($E151, Data!$B:$B, 0)), "")</f>
        <v/>
      </c>
      <c r="I151" s="9" t="str">
        <f t="shared" si="1"/>
        <v/>
      </c>
      <c r="J151" s="9" t="str">
        <f t="shared" si="2"/>
        <v>#REF!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12">
        <v>150.0</v>
      </c>
      <c r="B152" s="13">
        <v>150.0</v>
      </c>
      <c r="C152" s="9" t="str">
        <f t="array" ref="C152">IFERROR(INDEX(Data!F:F, MATCH($E152, Data!$B:$B, 0)), "")</f>
        <v/>
      </c>
      <c r="D152" s="9" t="str">
        <f t="array" ref="D152">IFERROR(INDEX(Data!A:A, MATCH($E152, Data!$B:$B, 0)), "")</f>
        <v/>
      </c>
      <c r="E152" s="9" t="str">
        <f>LARGE(Data!$B$2:$B1000,A152 )</f>
        <v>#NUM!</v>
      </c>
      <c r="F152" s="9" t="str">
        <f t="array" ref="F152">IFERROR(INDEX(Data!C:C, MATCH($E152, Data!$B:$B, 0)), "")</f>
        <v/>
      </c>
      <c r="G152" s="9" t="str">
        <f t="array" ref="G152">IFERROR(INDEX(Data!D:D, MATCH($E152, Data!$B:$B, 0)), "")</f>
        <v/>
      </c>
      <c r="H152" s="9" t="str">
        <f t="array" ref="H152">IFERROR(INDEX(Data!E:E, MATCH($E152, Data!$B:$B, 0)), "")</f>
        <v/>
      </c>
      <c r="I152" s="9" t="str">
        <f t="shared" si="1"/>
        <v/>
      </c>
      <c r="J152" s="9" t="str">
        <f t="shared" si="2"/>
        <v>#REF!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12">
        <v>151.0</v>
      </c>
      <c r="B153" s="13">
        <v>151.0</v>
      </c>
      <c r="C153" s="9" t="str">
        <f t="array" ref="C153">IFERROR(INDEX(Data!F:F, MATCH($E153, Data!$B:$B, 0)), "")</f>
        <v/>
      </c>
      <c r="D153" s="9" t="str">
        <f t="array" ref="D153">IFERROR(INDEX(Data!A:A, MATCH($E153, Data!$B:$B, 0)), "")</f>
        <v/>
      </c>
      <c r="E153" s="9" t="str">
        <f>LARGE(Data!$B$2:$B1000,A153 )</f>
        <v>#NUM!</v>
      </c>
      <c r="F153" s="9" t="str">
        <f t="array" ref="F153">IFERROR(INDEX(Data!C:C, MATCH($E153, Data!$B:$B, 0)), "")</f>
        <v/>
      </c>
      <c r="G153" s="9" t="str">
        <f t="array" ref="G153">IFERROR(INDEX(Data!D:D, MATCH($E153, Data!$B:$B, 0)), "")</f>
        <v/>
      </c>
      <c r="H153" s="9" t="str">
        <f t="array" ref="H153">IFERROR(INDEX(Data!E:E, MATCH($E153, Data!$B:$B, 0)), "")</f>
        <v/>
      </c>
      <c r="I153" s="9" t="str">
        <f t="shared" si="1"/>
        <v/>
      </c>
      <c r="J153" s="9" t="str">
        <f t="shared" si="2"/>
        <v>#REF!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12">
        <v>152.0</v>
      </c>
      <c r="B154" s="13">
        <v>152.0</v>
      </c>
      <c r="C154" s="9" t="str">
        <f t="array" ref="C154">IFERROR(INDEX(Data!F:F, MATCH($E154, Data!$B:$B, 0)), "")</f>
        <v/>
      </c>
      <c r="D154" s="9" t="str">
        <f t="array" ref="D154">IFERROR(INDEX(Data!A:A, MATCH($E154, Data!$B:$B, 0)), "")</f>
        <v/>
      </c>
      <c r="E154" s="9" t="str">
        <f>LARGE(Data!$B$2:$B1000,A154 )</f>
        <v>#NUM!</v>
      </c>
      <c r="F154" s="9" t="str">
        <f t="array" ref="F154">IFERROR(INDEX(Data!C:C, MATCH($E154, Data!$B:$B, 0)), "")</f>
        <v/>
      </c>
      <c r="G154" s="9" t="str">
        <f t="array" ref="G154">IFERROR(INDEX(Data!D:D, MATCH($E154, Data!$B:$B, 0)), "")</f>
        <v/>
      </c>
      <c r="H154" s="9" t="str">
        <f t="array" ref="H154">IFERROR(INDEX(Data!E:E, MATCH($E154, Data!$B:$B, 0)), "")</f>
        <v/>
      </c>
      <c r="I154" s="9" t="str">
        <f t="shared" si="1"/>
        <v/>
      </c>
      <c r="J154" s="9" t="str">
        <f t="shared" si="2"/>
        <v>#REF!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12">
        <v>153.0</v>
      </c>
      <c r="B155" s="13">
        <v>153.0</v>
      </c>
      <c r="C155" s="9" t="str">
        <f t="array" ref="C155">IFERROR(INDEX(Data!F:F, MATCH($E155, Data!$B:$B, 0)), "")</f>
        <v/>
      </c>
      <c r="D155" s="9" t="str">
        <f t="array" ref="D155">IFERROR(INDEX(Data!A:A, MATCH($E155, Data!$B:$B, 0)), "")</f>
        <v/>
      </c>
      <c r="E155" s="9" t="str">
        <f>LARGE(Data!$B$2:$B1000,A155 )</f>
        <v>#NUM!</v>
      </c>
      <c r="F155" s="9" t="str">
        <f t="array" ref="F155">IFERROR(INDEX(Data!C:C, MATCH($E155, Data!$B:$B, 0)), "")</f>
        <v/>
      </c>
      <c r="G155" s="9" t="str">
        <f t="array" ref="G155">IFERROR(INDEX(Data!D:D, MATCH($E155, Data!$B:$B, 0)), "")</f>
        <v/>
      </c>
      <c r="H155" s="9" t="str">
        <f t="array" ref="H155">IFERROR(INDEX(Data!E:E, MATCH($E155, Data!$B:$B, 0)), "")</f>
        <v/>
      </c>
      <c r="I155" s="9" t="str">
        <f t="shared" si="1"/>
        <v/>
      </c>
      <c r="J155" s="9" t="str">
        <f t="shared" si="2"/>
        <v>#REF!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12">
        <v>154.0</v>
      </c>
      <c r="B156" s="13">
        <v>154.0</v>
      </c>
      <c r="C156" s="9" t="str">
        <f t="array" ref="C156">IFERROR(INDEX(Data!F:F, MATCH($E156, Data!$B:$B, 0)), "")</f>
        <v/>
      </c>
      <c r="D156" s="9" t="str">
        <f t="array" ref="D156">IFERROR(INDEX(Data!A:A, MATCH($E156, Data!$B:$B, 0)), "")</f>
        <v/>
      </c>
      <c r="E156" s="9" t="str">
        <f>LARGE(Data!$B$2:$B1000,A156 )</f>
        <v>#NUM!</v>
      </c>
      <c r="F156" s="9" t="str">
        <f t="array" ref="F156">IFERROR(INDEX(Data!C:C, MATCH($E156, Data!$B:$B, 0)), "")</f>
        <v/>
      </c>
      <c r="G156" s="9" t="str">
        <f t="array" ref="G156">IFERROR(INDEX(Data!D:D, MATCH($E156, Data!$B:$B, 0)), "")</f>
        <v/>
      </c>
      <c r="H156" s="9" t="str">
        <f t="array" ref="H156">IFERROR(INDEX(Data!E:E, MATCH($E156, Data!$B:$B, 0)), "")</f>
        <v/>
      </c>
      <c r="I156" s="9" t="str">
        <f t="shared" si="1"/>
        <v/>
      </c>
      <c r="J156" s="9" t="str">
        <f t="shared" si="2"/>
        <v>#REF!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12">
        <v>155.0</v>
      </c>
      <c r="B157" s="13">
        <v>155.0</v>
      </c>
      <c r="C157" s="9" t="str">
        <f t="array" ref="C157">IFERROR(INDEX(Data!F:F, MATCH($E157, Data!$B:$B, 0)), "")</f>
        <v/>
      </c>
      <c r="D157" s="9" t="str">
        <f t="array" ref="D157">IFERROR(INDEX(Data!A:A, MATCH($E157, Data!$B:$B, 0)), "")</f>
        <v/>
      </c>
      <c r="E157" s="9" t="str">
        <f>LARGE(Data!$B$2:$B1000,A157 )</f>
        <v>#NUM!</v>
      </c>
      <c r="F157" s="9" t="str">
        <f t="array" ref="F157">IFERROR(INDEX(Data!C:C, MATCH($E157, Data!$B:$B, 0)), "")</f>
        <v/>
      </c>
      <c r="G157" s="9" t="str">
        <f t="array" ref="G157">IFERROR(INDEX(Data!D:D, MATCH($E157, Data!$B:$B, 0)), "")</f>
        <v/>
      </c>
      <c r="H157" s="9" t="str">
        <f t="array" ref="H157">IFERROR(INDEX(Data!E:E, MATCH($E157, Data!$B:$B, 0)), "")</f>
        <v/>
      </c>
      <c r="I157" s="9" t="str">
        <f t="shared" si="1"/>
        <v/>
      </c>
      <c r="J157" s="9" t="str">
        <f t="shared" si="2"/>
        <v>#REF!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12">
        <v>156.0</v>
      </c>
      <c r="B158" s="13">
        <v>156.0</v>
      </c>
      <c r="C158" s="9" t="str">
        <f t="array" ref="C158">IFERROR(INDEX(Data!F:F, MATCH($E158, Data!$B:$B, 0)), "")</f>
        <v/>
      </c>
      <c r="D158" s="9" t="str">
        <f t="array" ref="D158">IFERROR(INDEX(Data!A:A, MATCH($E158, Data!$B:$B, 0)), "")</f>
        <v/>
      </c>
      <c r="E158" s="9" t="str">
        <f>LARGE(Data!$B$2:$B1000,A158 )</f>
        <v>#NUM!</v>
      </c>
      <c r="F158" s="9" t="str">
        <f t="array" ref="F158">IFERROR(INDEX(Data!C:C, MATCH($E158, Data!$B:$B, 0)), "")</f>
        <v/>
      </c>
      <c r="G158" s="9" t="str">
        <f t="array" ref="G158">IFERROR(INDEX(Data!D:D, MATCH($E158, Data!$B:$B, 0)), "")</f>
        <v/>
      </c>
      <c r="H158" s="9" t="str">
        <f t="array" ref="H158">IFERROR(INDEX(Data!E:E, MATCH($E158, Data!$B:$B, 0)), "")</f>
        <v/>
      </c>
      <c r="I158" s="9" t="str">
        <f t="shared" si="1"/>
        <v/>
      </c>
      <c r="J158" s="9" t="str">
        <f t="shared" si="2"/>
        <v>#REF!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12">
        <v>157.0</v>
      </c>
      <c r="B159" s="13">
        <v>157.0</v>
      </c>
      <c r="C159" s="9" t="str">
        <f t="array" ref="C159">IFERROR(INDEX(Data!F:F, MATCH($E159, Data!$B:$B, 0)), "")</f>
        <v/>
      </c>
      <c r="D159" s="9" t="str">
        <f t="array" ref="D159">IFERROR(INDEX(Data!A:A, MATCH($E159, Data!$B:$B, 0)), "")</f>
        <v/>
      </c>
      <c r="E159" s="9" t="str">
        <f>LARGE(Data!$B$2:$B1000,A159 )</f>
        <v>#NUM!</v>
      </c>
      <c r="F159" s="9" t="str">
        <f t="array" ref="F159">IFERROR(INDEX(Data!C:C, MATCH($E159, Data!$B:$B, 0)), "")</f>
        <v/>
      </c>
      <c r="G159" s="9" t="str">
        <f t="array" ref="G159">IFERROR(INDEX(Data!D:D, MATCH($E159, Data!$B:$B, 0)), "")</f>
        <v/>
      </c>
      <c r="H159" s="9" t="str">
        <f t="array" ref="H159">IFERROR(INDEX(Data!E:E, MATCH($E159, Data!$B:$B, 0)), "")</f>
        <v/>
      </c>
      <c r="I159" s="9" t="str">
        <f t="shared" si="1"/>
        <v/>
      </c>
      <c r="J159" s="9" t="str">
        <f t="shared" si="2"/>
        <v>#REF!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12">
        <v>158.0</v>
      </c>
      <c r="B160" s="13">
        <v>158.0</v>
      </c>
      <c r="C160" s="9" t="str">
        <f t="array" ref="C160">IFERROR(INDEX(Data!F:F, MATCH($E160, Data!$B:$B, 0)), "")</f>
        <v/>
      </c>
      <c r="D160" s="9" t="str">
        <f t="array" ref="D160">IFERROR(INDEX(Data!A:A, MATCH($E160, Data!$B:$B, 0)), "")</f>
        <v/>
      </c>
      <c r="E160" s="9" t="str">
        <f>LARGE(Data!$B$2:$B1000,A160 )</f>
        <v>#NUM!</v>
      </c>
      <c r="F160" s="9" t="str">
        <f t="array" ref="F160">IFERROR(INDEX(Data!C:C, MATCH($E160, Data!$B:$B, 0)), "")</f>
        <v/>
      </c>
      <c r="G160" s="9" t="str">
        <f t="array" ref="G160">IFERROR(INDEX(Data!D:D, MATCH($E160, Data!$B:$B, 0)), "")</f>
        <v/>
      </c>
      <c r="H160" s="9" t="str">
        <f t="array" ref="H160">IFERROR(INDEX(Data!E:E, MATCH($E160, Data!$B:$B, 0)), "")</f>
        <v/>
      </c>
      <c r="I160" s="9" t="str">
        <f t="shared" si="1"/>
        <v/>
      </c>
      <c r="J160" s="9" t="str">
        <f t="shared" si="2"/>
        <v>#REF!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12">
        <v>159.0</v>
      </c>
      <c r="B161" s="13">
        <v>159.0</v>
      </c>
      <c r="C161" s="9" t="str">
        <f t="array" ref="C161">IFERROR(INDEX(Data!F:F, MATCH($E161, Data!$B:$B, 0)), "")</f>
        <v/>
      </c>
      <c r="D161" s="9" t="str">
        <f t="array" ref="D161">IFERROR(INDEX(Data!A:A, MATCH($E161, Data!$B:$B, 0)), "")</f>
        <v/>
      </c>
      <c r="E161" s="9" t="str">
        <f>LARGE(Data!$B$2:$B1000,A161 )</f>
        <v>#NUM!</v>
      </c>
      <c r="F161" s="9" t="str">
        <f t="array" ref="F161">IFERROR(INDEX(Data!C:C, MATCH($E161, Data!$B:$B, 0)), "")</f>
        <v/>
      </c>
      <c r="G161" s="9" t="str">
        <f t="array" ref="G161">IFERROR(INDEX(Data!D:D, MATCH($E161, Data!$B:$B, 0)), "")</f>
        <v/>
      </c>
      <c r="H161" s="9" t="str">
        <f t="array" ref="H161">IFERROR(INDEX(Data!E:E, MATCH($E161, Data!$B:$B, 0)), "")</f>
        <v/>
      </c>
      <c r="I161" s="9" t="str">
        <f t="shared" si="1"/>
        <v/>
      </c>
      <c r="J161" s="9" t="str">
        <f t="shared" si="2"/>
        <v>#REF!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12">
        <v>160.0</v>
      </c>
      <c r="B162" s="13">
        <v>160.0</v>
      </c>
      <c r="C162" s="9" t="str">
        <f t="array" ref="C162">IFERROR(INDEX(Data!F:F, MATCH($E162, Data!$B:$B, 0)), "")</f>
        <v/>
      </c>
      <c r="D162" s="9" t="str">
        <f t="array" ref="D162">IFERROR(INDEX(Data!A:A, MATCH($E162, Data!$B:$B, 0)), "")</f>
        <v/>
      </c>
      <c r="E162" s="9" t="str">
        <f>LARGE(Data!$B$2:$B1000,A162 )</f>
        <v>#NUM!</v>
      </c>
      <c r="F162" s="9" t="str">
        <f t="array" ref="F162">IFERROR(INDEX(Data!C:C, MATCH($E162, Data!$B:$B, 0)), "")</f>
        <v/>
      </c>
      <c r="G162" s="9" t="str">
        <f t="array" ref="G162">IFERROR(INDEX(Data!D:D, MATCH($E162, Data!$B:$B, 0)), "")</f>
        <v/>
      </c>
      <c r="H162" s="9" t="str">
        <f t="array" ref="H162">IFERROR(INDEX(Data!E:E, MATCH($E162, Data!$B:$B, 0)), "")</f>
        <v/>
      </c>
      <c r="I162" s="9" t="str">
        <f t="shared" si="1"/>
        <v/>
      </c>
      <c r="J162" s="9" t="str">
        <f t="shared" si="2"/>
        <v>#REF!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12">
        <v>161.0</v>
      </c>
      <c r="B163" s="13">
        <v>161.0</v>
      </c>
      <c r="C163" s="9" t="str">
        <f t="array" ref="C163">IFERROR(INDEX(Data!F:F, MATCH($E163, Data!$B:$B, 0)), "")</f>
        <v/>
      </c>
      <c r="D163" s="9" t="str">
        <f t="array" ref="D163">IFERROR(INDEX(Data!A:A, MATCH($E163, Data!$B:$B, 0)), "")</f>
        <v/>
      </c>
      <c r="E163" s="9" t="str">
        <f>LARGE(Data!$B$2:$B1000,A163 )</f>
        <v>#NUM!</v>
      </c>
      <c r="F163" s="9" t="str">
        <f t="array" ref="F163">IFERROR(INDEX(Data!C:C, MATCH($E163, Data!$B:$B, 0)), "")</f>
        <v/>
      </c>
      <c r="G163" s="9" t="str">
        <f t="array" ref="G163">IFERROR(INDEX(Data!D:D, MATCH($E163, Data!$B:$B, 0)), "")</f>
        <v/>
      </c>
      <c r="H163" s="9" t="str">
        <f t="array" ref="H163">IFERROR(INDEX(Data!E:E, MATCH($E163, Data!$B:$B, 0)), "")</f>
        <v/>
      </c>
      <c r="I163" s="9" t="str">
        <f t="shared" si="1"/>
        <v/>
      </c>
      <c r="J163" s="9" t="str">
        <f t="shared" si="2"/>
        <v>#REF!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12">
        <v>162.0</v>
      </c>
      <c r="B164" s="13">
        <v>162.0</v>
      </c>
      <c r="C164" s="9" t="str">
        <f t="array" ref="C164">IFERROR(INDEX(Data!F:F, MATCH($E164, Data!$B:$B, 0)), "")</f>
        <v/>
      </c>
      <c r="D164" s="9" t="str">
        <f t="array" ref="D164">IFERROR(INDEX(Data!A:A, MATCH($E164, Data!$B:$B, 0)), "")</f>
        <v/>
      </c>
      <c r="E164" s="9" t="str">
        <f>LARGE(Data!$B$2:$B1000,A164 )</f>
        <v>#NUM!</v>
      </c>
      <c r="F164" s="9" t="str">
        <f t="array" ref="F164">IFERROR(INDEX(Data!C:C, MATCH($E164, Data!$B:$B, 0)), "")</f>
        <v/>
      </c>
      <c r="G164" s="9" t="str">
        <f t="array" ref="G164">IFERROR(INDEX(Data!D:D, MATCH($E164, Data!$B:$B, 0)), "")</f>
        <v/>
      </c>
      <c r="H164" s="9" t="str">
        <f t="array" ref="H164">IFERROR(INDEX(Data!E:E, MATCH($E164, Data!$B:$B, 0)), "")</f>
        <v/>
      </c>
      <c r="I164" s="9" t="str">
        <f t="shared" si="1"/>
        <v/>
      </c>
      <c r="J164" s="9" t="str">
        <f t="shared" si="2"/>
        <v>#REF!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12">
        <v>163.0</v>
      </c>
      <c r="B165" s="13">
        <v>163.0</v>
      </c>
      <c r="C165" s="9" t="str">
        <f t="array" ref="C165">IFERROR(INDEX(Data!F:F, MATCH($E165, Data!$B:$B, 0)), "")</f>
        <v/>
      </c>
      <c r="D165" s="9" t="str">
        <f t="array" ref="D165">IFERROR(INDEX(Data!A:A, MATCH($E165, Data!$B:$B, 0)), "")</f>
        <v/>
      </c>
      <c r="E165" s="9" t="str">
        <f>LARGE(Data!$B$2:$B1000,A165 )</f>
        <v>#NUM!</v>
      </c>
      <c r="F165" s="9" t="str">
        <f t="array" ref="F165">IFERROR(INDEX(Data!C:C, MATCH($E165, Data!$B:$B, 0)), "")</f>
        <v/>
      </c>
      <c r="G165" s="9" t="str">
        <f t="array" ref="G165">IFERROR(INDEX(Data!D:D, MATCH($E165, Data!$B:$B, 0)), "")</f>
        <v/>
      </c>
      <c r="H165" s="9" t="str">
        <f t="array" ref="H165">IFERROR(INDEX(Data!E:E, MATCH($E165, Data!$B:$B, 0)), "")</f>
        <v/>
      </c>
      <c r="I165" s="9" t="str">
        <f t="shared" si="1"/>
        <v/>
      </c>
      <c r="J165" s="9" t="str">
        <f t="shared" si="2"/>
        <v>#REF!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12">
        <v>164.0</v>
      </c>
      <c r="B166" s="13">
        <v>164.0</v>
      </c>
      <c r="C166" s="9" t="str">
        <f t="array" ref="C166">IFERROR(INDEX(Data!F:F, MATCH($E166, Data!$B:$B, 0)), "")</f>
        <v/>
      </c>
      <c r="D166" s="9" t="str">
        <f t="array" ref="D166">IFERROR(INDEX(Data!A:A, MATCH($E166, Data!$B:$B, 0)), "")</f>
        <v/>
      </c>
      <c r="E166" s="9" t="str">
        <f>LARGE(Data!$B$2:$B1000,A166 )</f>
        <v>#NUM!</v>
      </c>
      <c r="F166" s="9" t="str">
        <f t="array" ref="F166">IFERROR(INDEX(Data!C:C, MATCH($E166, Data!$B:$B, 0)), "")</f>
        <v/>
      </c>
      <c r="G166" s="9" t="str">
        <f t="array" ref="G166">IFERROR(INDEX(Data!D:D, MATCH($E166, Data!$B:$B, 0)), "")</f>
        <v/>
      </c>
      <c r="H166" s="9" t="str">
        <f t="array" ref="H166">IFERROR(INDEX(Data!E:E, MATCH($E166, Data!$B:$B, 0)), "")</f>
        <v/>
      </c>
      <c r="I166" s="9" t="str">
        <f t="shared" si="1"/>
        <v/>
      </c>
      <c r="J166" s="9" t="str">
        <f t="shared" si="2"/>
        <v>#REF!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12">
        <v>165.0</v>
      </c>
      <c r="B167" s="13">
        <v>165.0</v>
      </c>
      <c r="C167" s="9" t="str">
        <f t="array" ref="C167">IFERROR(INDEX(Data!F:F, MATCH($E167, Data!$B:$B, 0)), "")</f>
        <v/>
      </c>
      <c r="D167" s="9" t="str">
        <f t="array" ref="D167">IFERROR(INDEX(Data!A:A, MATCH($E167, Data!$B:$B, 0)), "")</f>
        <v/>
      </c>
      <c r="E167" s="9" t="str">
        <f>LARGE(Data!$B$2:$B1000,A167 )</f>
        <v>#NUM!</v>
      </c>
      <c r="F167" s="9" t="str">
        <f t="array" ref="F167">IFERROR(INDEX(Data!C:C, MATCH($E167, Data!$B:$B, 0)), "")</f>
        <v/>
      </c>
      <c r="G167" s="9" t="str">
        <f t="array" ref="G167">IFERROR(INDEX(Data!D:D, MATCH($E167, Data!$B:$B, 0)), "")</f>
        <v/>
      </c>
      <c r="H167" s="9" t="str">
        <f t="array" ref="H167">IFERROR(INDEX(Data!E:E, MATCH($E167, Data!$B:$B, 0)), "")</f>
        <v/>
      </c>
      <c r="I167" s="9" t="str">
        <f t="shared" si="1"/>
        <v/>
      </c>
      <c r="J167" s="9" t="str">
        <f t="shared" si="2"/>
        <v>#REF!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12">
        <v>166.0</v>
      </c>
      <c r="B168" s="13">
        <v>166.0</v>
      </c>
      <c r="C168" s="9" t="str">
        <f t="array" ref="C168">IFERROR(INDEX(Data!F:F, MATCH($E168, Data!$B:$B, 0)), "")</f>
        <v/>
      </c>
      <c r="D168" s="9" t="str">
        <f t="array" ref="D168">IFERROR(INDEX(Data!A:A, MATCH($E168, Data!$B:$B, 0)), "")</f>
        <v/>
      </c>
      <c r="E168" s="9" t="str">
        <f>LARGE(Data!$B$2:$B1000,A168 )</f>
        <v>#NUM!</v>
      </c>
      <c r="F168" s="9" t="str">
        <f t="array" ref="F168">IFERROR(INDEX(Data!C:C, MATCH($E168, Data!$B:$B, 0)), "")</f>
        <v/>
      </c>
      <c r="G168" s="9" t="str">
        <f t="array" ref="G168">IFERROR(INDEX(Data!D:D, MATCH($E168, Data!$B:$B, 0)), "")</f>
        <v/>
      </c>
      <c r="H168" s="9" t="str">
        <f t="array" ref="H168">IFERROR(INDEX(Data!E:E, MATCH($E168, Data!$B:$B, 0)), "")</f>
        <v/>
      </c>
      <c r="I168" s="9" t="str">
        <f t="shared" si="1"/>
        <v/>
      </c>
      <c r="J168" s="9" t="str">
        <f t="shared" si="2"/>
        <v>#REF!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12">
        <v>167.0</v>
      </c>
      <c r="B169" s="13">
        <v>167.0</v>
      </c>
      <c r="C169" s="9" t="str">
        <f t="array" ref="C169">IFERROR(INDEX(Data!F:F, MATCH($E169, Data!$B:$B, 0)), "")</f>
        <v/>
      </c>
      <c r="D169" s="9" t="str">
        <f t="array" ref="D169">IFERROR(INDEX(Data!A:A, MATCH($E169, Data!$B:$B, 0)), "")</f>
        <v/>
      </c>
      <c r="E169" s="9" t="str">
        <f>LARGE(Data!$B$2:$B1000,A169 )</f>
        <v>#NUM!</v>
      </c>
      <c r="F169" s="9" t="str">
        <f t="array" ref="F169">IFERROR(INDEX(Data!C:C, MATCH($E169, Data!$B:$B, 0)), "")</f>
        <v/>
      </c>
      <c r="G169" s="9" t="str">
        <f t="array" ref="G169">IFERROR(INDEX(Data!D:D, MATCH($E169, Data!$B:$B, 0)), "")</f>
        <v/>
      </c>
      <c r="H169" s="9" t="str">
        <f t="array" ref="H169">IFERROR(INDEX(Data!E:E, MATCH($E169, Data!$B:$B, 0)), "")</f>
        <v/>
      </c>
      <c r="I169" s="9" t="str">
        <f t="shared" si="1"/>
        <v/>
      </c>
      <c r="J169" s="9" t="str">
        <f t="shared" si="2"/>
        <v>#REF!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12">
        <v>168.0</v>
      </c>
      <c r="B170" s="13">
        <v>168.0</v>
      </c>
      <c r="C170" s="9" t="str">
        <f t="array" ref="C170">IFERROR(INDEX(Data!F:F, MATCH($E170, Data!$B:$B, 0)), "")</f>
        <v/>
      </c>
      <c r="D170" s="9" t="str">
        <f t="array" ref="D170">IFERROR(INDEX(Data!A:A, MATCH($E170, Data!$B:$B, 0)), "")</f>
        <v/>
      </c>
      <c r="E170" s="9" t="str">
        <f>LARGE(Data!$B$2:$B1000,A170 )</f>
        <v>#NUM!</v>
      </c>
      <c r="F170" s="9" t="str">
        <f t="array" ref="F170">IFERROR(INDEX(Data!C:C, MATCH($E170, Data!$B:$B, 0)), "")</f>
        <v/>
      </c>
      <c r="G170" s="9" t="str">
        <f t="array" ref="G170">IFERROR(INDEX(Data!D:D, MATCH($E170, Data!$B:$B, 0)), "")</f>
        <v/>
      </c>
      <c r="H170" s="9" t="str">
        <f t="array" ref="H170">IFERROR(INDEX(Data!E:E, MATCH($E170, Data!$B:$B, 0)), "")</f>
        <v/>
      </c>
      <c r="I170" s="9" t="str">
        <f t="shared" si="1"/>
        <v/>
      </c>
      <c r="J170" s="9" t="str">
        <f t="shared" si="2"/>
        <v>#REF!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12">
        <v>169.0</v>
      </c>
      <c r="B171" s="13">
        <v>169.0</v>
      </c>
      <c r="C171" s="9" t="str">
        <f t="array" ref="C171">IFERROR(INDEX(Data!F:F, MATCH($E171, Data!$B:$B, 0)), "")</f>
        <v/>
      </c>
      <c r="D171" s="9" t="str">
        <f t="array" ref="D171">IFERROR(INDEX(Data!A:A, MATCH($E171, Data!$B:$B, 0)), "")</f>
        <v/>
      </c>
      <c r="E171" s="9" t="str">
        <f>LARGE(Data!$B$2:$B1000,A171 )</f>
        <v>#NUM!</v>
      </c>
      <c r="F171" s="9" t="str">
        <f t="array" ref="F171">IFERROR(INDEX(Data!C:C, MATCH($E171, Data!$B:$B, 0)), "")</f>
        <v/>
      </c>
      <c r="G171" s="9" t="str">
        <f t="array" ref="G171">IFERROR(INDEX(Data!D:D, MATCH($E171, Data!$B:$B, 0)), "")</f>
        <v/>
      </c>
      <c r="H171" s="9" t="str">
        <f t="array" ref="H171">IFERROR(INDEX(Data!E:E, MATCH($E171, Data!$B:$B, 0)), "")</f>
        <v/>
      </c>
      <c r="I171" s="9" t="str">
        <f t="shared" si="1"/>
        <v/>
      </c>
      <c r="J171" s="9" t="str">
        <f t="shared" si="2"/>
        <v>#REF!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12">
        <v>170.0</v>
      </c>
      <c r="B172" s="13">
        <v>170.0</v>
      </c>
      <c r="C172" s="9" t="str">
        <f t="array" ref="C172">IFERROR(INDEX(Data!F:F, MATCH($E172, Data!$B:$B, 0)), "")</f>
        <v/>
      </c>
      <c r="D172" s="9" t="str">
        <f t="array" ref="D172">IFERROR(INDEX(Data!A:A, MATCH($E172, Data!$B:$B, 0)), "")</f>
        <v/>
      </c>
      <c r="E172" s="9" t="str">
        <f>LARGE(Data!$B$2:$B1000,A172 )</f>
        <v>#NUM!</v>
      </c>
      <c r="F172" s="9" t="str">
        <f t="array" ref="F172">IFERROR(INDEX(Data!C:C, MATCH($E172, Data!$B:$B, 0)), "")</f>
        <v/>
      </c>
      <c r="G172" s="9" t="str">
        <f t="array" ref="G172">IFERROR(INDEX(Data!D:D, MATCH($E172, Data!$B:$B, 0)), "")</f>
        <v/>
      </c>
      <c r="H172" s="9" t="str">
        <f t="array" ref="H172">IFERROR(INDEX(Data!E:E, MATCH($E172, Data!$B:$B, 0)), "")</f>
        <v/>
      </c>
      <c r="I172" s="9" t="str">
        <f t="shared" si="1"/>
        <v/>
      </c>
      <c r="J172" s="9" t="str">
        <f t="shared" si="2"/>
        <v>#REF!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12">
        <v>171.0</v>
      </c>
      <c r="B173" s="13">
        <v>171.0</v>
      </c>
      <c r="C173" s="9" t="str">
        <f t="array" ref="C173">IFERROR(INDEX(Data!F:F, MATCH($E173, Data!$B:$B, 0)), "")</f>
        <v/>
      </c>
      <c r="D173" s="9" t="str">
        <f t="array" ref="D173">IFERROR(INDEX(Data!A:A, MATCH($E173, Data!$B:$B, 0)), "")</f>
        <v/>
      </c>
      <c r="E173" s="9" t="str">
        <f>LARGE(Data!$B$2:$B1000,A173 )</f>
        <v>#NUM!</v>
      </c>
      <c r="F173" s="9" t="str">
        <f t="array" ref="F173">IFERROR(INDEX(Data!C:C, MATCH($E173, Data!$B:$B, 0)), "")</f>
        <v/>
      </c>
      <c r="G173" s="9" t="str">
        <f t="array" ref="G173">IFERROR(INDEX(Data!D:D, MATCH($E173, Data!$B:$B, 0)), "")</f>
        <v/>
      </c>
      <c r="H173" s="9" t="str">
        <f t="array" ref="H173">IFERROR(INDEX(Data!E:E, MATCH($E173, Data!$B:$B, 0)), "")</f>
        <v/>
      </c>
      <c r="I173" s="9" t="str">
        <f t="shared" si="1"/>
        <v/>
      </c>
      <c r="J173" s="9" t="str">
        <f t="shared" si="2"/>
        <v>#REF!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12">
        <v>172.0</v>
      </c>
      <c r="B174" s="13">
        <v>172.0</v>
      </c>
      <c r="C174" s="9" t="str">
        <f t="array" ref="C174">IFERROR(INDEX(Data!F:F, MATCH($E174, Data!$B:$B, 0)), "")</f>
        <v/>
      </c>
      <c r="D174" s="9" t="str">
        <f t="array" ref="D174">IFERROR(INDEX(Data!A:A, MATCH($E174, Data!$B:$B, 0)), "")</f>
        <v/>
      </c>
      <c r="E174" s="9" t="str">
        <f>LARGE(Data!$B$2:$B1000,A174 )</f>
        <v>#NUM!</v>
      </c>
      <c r="F174" s="9" t="str">
        <f t="array" ref="F174">IFERROR(INDEX(Data!C:C, MATCH($E174, Data!$B:$B, 0)), "")</f>
        <v/>
      </c>
      <c r="G174" s="9" t="str">
        <f t="array" ref="G174">IFERROR(INDEX(Data!D:D, MATCH($E174, Data!$B:$B, 0)), "")</f>
        <v/>
      </c>
      <c r="H174" s="9" t="str">
        <f t="array" ref="H174">IFERROR(INDEX(Data!E:E, MATCH($E174, Data!$B:$B, 0)), "")</f>
        <v/>
      </c>
      <c r="I174" s="9" t="str">
        <f t="shared" si="1"/>
        <v/>
      </c>
      <c r="J174" s="9" t="str">
        <f t="shared" si="2"/>
        <v>#REF!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12">
        <v>173.0</v>
      </c>
      <c r="B175" s="13">
        <v>173.0</v>
      </c>
      <c r="C175" s="9" t="str">
        <f t="array" ref="C175">IFERROR(INDEX(Data!F:F, MATCH($E175, Data!$B:$B, 0)), "")</f>
        <v/>
      </c>
      <c r="D175" s="9" t="str">
        <f t="array" ref="D175">IFERROR(INDEX(Data!A:A, MATCH($E175, Data!$B:$B, 0)), "")</f>
        <v/>
      </c>
      <c r="E175" s="9" t="str">
        <f>LARGE(Data!$B$2:$B1000,A175 )</f>
        <v>#NUM!</v>
      </c>
      <c r="F175" s="9" t="str">
        <f t="array" ref="F175">IFERROR(INDEX(Data!C:C, MATCH($E175, Data!$B:$B, 0)), "")</f>
        <v/>
      </c>
      <c r="G175" s="9" t="str">
        <f t="array" ref="G175">IFERROR(INDEX(Data!D:D, MATCH($E175, Data!$B:$B, 0)), "")</f>
        <v/>
      </c>
      <c r="H175" s="9" t="str">
        <f t="array" ref="H175">IFERROR(INDEX(Data!E:E, MATCH($E175, Data!$B:$B, 0)), "")</f>
        <v/>
      </c>
      <c r="I175" s="9" t="str">
        <f t="shared" si="1"/>
        <v/>
      </c>
      <c r="J175" s="9" t="str">
        <f t="shared" si="2"/>
        <v>#REF!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12">
        <v>174.0</v>
      </c>
      <c r="B176" s="13">
        <v>174.0</v>
      </c>
      <c r="C176" s="9" t="str">
        <f t="array" ref="C176">IFERROR(INDEX(Data!F:F, MATCH($E176, Data!$B:$B, 0)), "")</f>
        <v/>
      </c>
      <c r="D176" s="9" t="str">
        <f t="array" ref="D176">IFERROR(INDEX(Data!A:A, MATCH($E176, Data!$B:$B, 0)), "")</f>
        <v/>
      </c>
      <c r="E176" s="9" t="str">
        <f>LARGE(Data!$B$2:$B1000,A176 )</f>
        <v>#NUM!</v>
      </c>
      <c r="F176" s="9" t="str">
        <f t="array" ref="F176">IFERROR(INDEX(Data!C:C, MATCH($E176, Data!$B:$B, 0)), "")</f>
        <v/>
      </c>
      <c r="G176" s="9" t="str">
        <f t="array" ref="G176">IFERROR(INDEX(Data!D:D, MATCH($E176, Data!$B:$B, 0)), "")</f>
        <v/>
      </c>
      <c r="H176" s="9" t="str">
        <f t="array" ref="H176">IFERROR(INDEX(Data!E:E, MATCH($E176, Data!$B:$B, 0)), "")</f>
        <v/>
      </c>
      <c r="I176" s="9" t="str">
        <f t="shared" si="1"/>
        <v/>
      </c>
      <c r="J176" s="9" t="str">
        <f t="shared" si="2"/>
        <v>#REF!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12">
        <v>175.0</v>
      </c>
      <c r="B177" s="13">
        <v>175.0</v>
      </c>
      <c r="C177" s="9" t="str">
        <f t="array" ref="C177">IFERROR(INDEX(Data!F:F, MATCH($E177, Data!$B:$B, 0)), "")</f>
        <v/>
      </c>
      <c r="D177" s="9" t="str">
        <f t="array" ref="D177">IFERROR(INDEX(Data!A:A, MATCH($E177, Data!$B:$B, 0)), "")</f>
        <v/>
      </c>
      <c r="E177" s="9" t="str">
        <f>LARGE(Data!$B$2:$B1000,A177 )</f>
        <v>#NUM!</v>
      </c>
      <c r="F177" s="9" t="str">
        <f t="array" ref="F177">IFERROR(INDEX(Data!C:C, MATCH($E177, Data!$B:$B, 0)), "")</f>
        <v/>
      </c>
      <c r="G177" s="9" t="str">
        <f t="array" ref="G177">IFERROR(INDEX(Data!D:D, MATCH($E177, Data!$B:$B, 0)), "")</f>
        <v/>
      </c>
      <c r="H177" s="9" t="str">
        <f t="array" ref="H177">IFERROR(INDEX(Data!E:E, MATCH($E177, Data!$B:$B, 0)), "")</f>
        <v/>
      </c>
      <c r="I177" s="9" t="str">
        <f t="shared" si="1"/>
        <v/>
      </c>
      <c r="J177" s="9" t="str">
        <f t="shared" si="2"/>
        <v>#REF!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12">
        <v>176.0</v>
      </c>
      <c r="B178" s="13">
        <v>176.0</v>
      </c>
      <c r="C178" s="9" t="str">
        <f t="array" ref="C178">IFERROR(INDEX(Data!F:F, MATCH($E178, Data!$B:$B, 0)), "")</f>
        <v/>
      </c>
      <c r="D178" s="9" t="str">
        <f t="array" ref="D178">IFERROR(INDEX(Data!A:A, MATCH($E178, Data!$B:$B, 0)), "")</f>
        <v/>
      </c>
      <c r="E178" s="9" t="str">
        <f>LARGE(Data!$B$2:$B1000,A178 )</f>
        <v>#NUM!</v>
      </c>
      <c r="F178" s="9" t="str">
        <f t="array" ref="F178">IFERROR(INDEX(Data!C:C, MATCH($E178, Data!$B:$B, 0)), "")</f>
        <v/>
      </c>
      <c r="G178" s="9" t="str">
        <f t="array" ref="G178">IFERROR(INDEX(Data!D:D, MATCH($E178, Data!$B:$B, 0)), "")</f>
        <v/>
      </c>
      <c r="H178" s="9" t="str">
        <f t="array" ref="H178">IFERROR(INDEX(Data!E:E, MATCH($E178, Data!$B:$B, 0)), "")</f>
        <v/>
      </c>
      <c r="I178" s="9" t="str">
        <f t="shared" si="1"/>
        <v/>
      </c>
      <c r="J178" s="9" t="str">
        <f t="shared" si="2"/>
        <v>#REF!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12">
        <v>177.0</v>
      </c>
      <c r="B179" s="13">
        <v>177.0</v>
      </c>
      <c r="C179" s="9" t="str">
        <f t="array" ref="C179">IFERROR(INDEX(Data!F:F, MATCH($E179, Data!$B:$B, 0)), "")</f>
        <v/>
      </c>
      <c r="D179" s="9" t="str">
        <f t="array" ref="D179">IFERROR(INDEX(Data!A:A, MATCH($E179, Data!$B:$B, 0)), "")</f>
        <v/>
      </c>
      <c r="E179" s="9" t="str">
        <f>LARGE(Data!$B$2:$B1000,A179 )</f>
        <v>#NUM!</v>
      </c>
      <c r="F179" s="9" t="str">
        <f t="array" ref="F179">IFERROR(INDEX(Data!C:C, MATCH($E179, Data!$B:$B, 0)), "")</f>
        <v/>
      </c>
      <c r="G179" s="9" t="str">
        <f t="array" ref="G179">IFERROR(INDEX(Data!D:D, MATCH($E179, Data!$B:$B, 0)), "")</f>
        <v/>
      </c>
      <c r="H179" s="9" t="str">
        <f t="array" ref="H179">IFERROR(INDEX(Data!E:E, MATCH($E179, Data!$B:$B, 0)), "")</f>
        <v/>
      </c>
      <c r="I179" s="9" t="str">
        <f t="shared" si="1"/>
        <v/>
      </c>
      <c r="J179" s="9" t="str">
        <f t="shared" si="2"/>
        <v>#REF!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12">
        <v>178.0</v>
      </c>
      <c r="B180" s="13">
        <v>178.0</v>
      </c>
      <c r="C180" s="9" t="str">
        <f t="array" ref="C180">IFERROR(INDEX(Data!F:F, MATCH($E180, Data!$B:$B, 0)), "")</f>
        <v/>
      </c>
      <c r="D180" s="9" t="str">
        <f t="array" ref="D180">IFERROR(INDEX(Data!A:A, MATCH($E180, Data!$B:$B, 0)), "")</f>
        <v/>
      </c>
      <c r="E180" s="9" t="str">
        <f>LARGE(Data!$B$2:$B1000,A180 )</f>
        <v>#NUM!</v>
      </c>
      <c r="F180" s="9" t="str">
        <f t="array" ref="F180">IFERROR(INDEX(Data!C:C, MATCH($E180, Data!$B:$B, 0)), "")</f>
        <v/>
      </c>
      <c r="G180" s="9" t="str">
        <f t="array" ref="G180">IFERROR(INDEX(Data!D:D, MATCH($E180, Data!$B:$B, 0)), "")</f>
        <v/>
      </c>
      <c r="H180" s="9" t="str">
        <f t="array" ref="H180">IFERROR(INDEX(Data!E:E, MATCH($E180, Data!$B:$B, 0)), "")</f>
        <v/>
      </c>
      <c r="I180" s="9" t="str">
        <f t="shared" si="1"/>
        <v/>
      </c>
      <c r="J180" s="9" t="str">
        <f t="shared" si="2"/>
        <v>#REF!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12">
        <v>179.0</v>
      </c>
      <c r="B181" s="13">
        <v>179.0</v>
      </c>
      <c r="C181" s="9" t="str">
        <f t="array" ref="C181">IFERROR(INDEX(Data!F:F, MATCH($E181, Data!$B:$B, 0)), "")</f>
        <v/>
      </c>
      <c r="D181" s="9" t="str">
        <f t="array" ref="D181">IFERROR(INDEX(Data!A:A, MATCH($E181, Data!$B:$B, 0)), "")</f>
        <v/>
      </c>
      <c r="E181" s="9" t="str">
        <f>LARGE(Data!$B$2:$B1000,A181 )</f>
        <v>#NUM!</v>
      </c>
      <c r="F181" s="9" t="str">
        <f t="array" ref="F181">IFERROR(INDEX(Data!C:C, MATCH($E181, Data!$B:$B, 0)), "")</f>
        <v/>
      </c>
      <c r="G181" s="9" t="str">
        <f t="array" ref="G181">IFERROR(INDEX(Data!D:D, MATCH($E181, Data!$B:$B, 0)), "")</f>
        <v/>
      </c>
      <c r="H181" s="9" t="str">
        <f t="array" ref="H181">IFERROR(INDEX(Data!E:E, MATCH($E181, Data!$B:$B, 0)), "")</f>
        <v/>
      </c>
      <c r="I181" s="9" t="str">
        <f t="shared" si="1"/>
        <v/>
      </c>
      <c r="J181" s="9" t="str">
        <f t="shared" si="2"/>
        <v>#REF!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12">
        <v>180.0</v>
      </c>
      <c r="B182" s="13">
        <v>180.0</v>
      </c>
      <c r="C182" s="9" t="str">
        <f t="array" ref="C182">IFERROR(INDEX(Data!F:F, MATCH($E182, Data!$B:$B, 0)), "")</f>
        <v/>
      </c>
      <c r="D182" s="9" t="str">
        <f t="array" ref="D182">IFERROR(INDEX(Data!A:A, MATCH($E182, Data!$B:$B, 0)), "")</f>
        <v/>
      </c>
      <c r="E182" s="9" t="str">
        <f>LARGE(Data!$B$2:$B1000,A182 )</f>
        <v>#NUM!</v>
      </c>
      <c r="F182" s="9" t="str">
        <f t="array" ref="F182">IFERROR(INDEX(Data!C:C, MATCH($E182, Data!$B:$B, 0)), "")</f>
        <v/>
      </c>
      <c r="G182" s="9" t="str">
        <f t="array" ref="G182">IFERROR(INDEX(Data!D:D, MATCH($E182, Data!$B:$B, 0)), "")</f>
        <v/>
      </c>
      <c r="H182" s="9" t="str">
        <f t="array" ref="H182">IFERROR(INDEX(Data!E:E, MATCH($E182, Data!$B:$B, 0)), "")</f>
        <v/>
      </c>
      <c r="I182" s="9" t="str">
        <f t="shared" si="1"/>
        <v/>
      </c>
      <c r="J182" s="9" t="str">
        <f t="shared" si="2"/>
        <v>#REF!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12">
        <v>181.0</v>
      </c>
      <c r="B183" s="13">
        <v>181.0</v>
      </c>
      <c r="C183" s="9" t="str">
        <f t="array" ref="C183">IFERROR(INDEX(Data!F:F, MATCH($E183, Data!$B:$B, 0)), "")</f>
        <v/>
      </c>
      <c r="D183" s="9" t="str">
        <f t="array" ref="D183">IFERROR(INDEX(Data!A:A, MATCH($E183, Data!$B:$B, 0)), "")</f>
        <v/>
      </c>
      <c r="E183" s="9" t="str">
        <f>LARGE(Data!$B$2:$B1000,A183 )</f>
        <v>#NUM!</v>
      </c>
      <c r="F183" s="9" t="str">
        <f t="array" ref="F183">IFERROR(INDEX(Data!C:C, MATCH($E183, Data!$B:$B, 0)), "")</f>
        <v/>
      </c>
      <c r="G183" s="9" t="str">
        <f t="array" ref="G183">IFERROR(INDEX(Data!D:D, MATCH($E183, Data!$B:$B, 0)), "")</f>
        <v/>
      </c>
      <c r="H183" s="9" t="str">
        <f t="array" ref="H183">IFERROR(INDEX(Data!E:E, MATCH($E183, Data!$B:$B, 0)), "")</f>
        <v/>
      </c>
      <c r="I183" s="9" t="str">
        <f t="shared" si="1"/>
        <v/>
      </c>
      <c r="J183" s="9" t="str">
        <f t="shared" si="2"/>
        <v>#REF!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12">
        <v>182.0</v>
      </c>
      <c r="B184" s="13">
        <v>182.0</v>
      </c>
      <c r="C184" s="9" t="str">
        <f t="array" ref="C184">IFERROR(INDEX(Data!F:F, MATCH($E184, Data!$B:$B, 0)), "")</f>
        <v/>
      </c>
      <c r="D184" s="9" t="str">
        <f t="array" ref="D184">IFERROR(INDEX(Data!A:A, MATCH($E184, Data!$B:$B, 0)), "")</f>
        <v/>
      </c>
      <c r="E184" s="9" t="str">
        <f>LARGE(Data!$B$2:$B1000,A184 )</f>
        <v>#NUM!</v>
      </c>
      <c r="F184" s="9" t="str">
        <f t="array" ref="F184">IFERROR(INDEX(Data!C:C, MATCH($E184, Data!$B:$B, 0)), "")</f>
        <v/>
      </c>
      <c r="G184" s="9" t="str">
        <f t="array" ref="G184">IFERROR(INDEX(Data!D:D, MATCH($E184, Data!$B:$B, 0)), "")</f>
        <v/>
      </c>
      <c r="H184" s="9" t="str">
        <f t="array" ref="H184">IFERROR(INDEX(Data!E:E, MATCH($E184, Data!$B:$B, 0)), "")</f>
        <v/>
      </c>
      <c r="I184" s="9" t="str">
        <f t="shared" si="1"/>
        <v/>
      </c>
      <c r="J184" s="9" t="str">
        <f t="shared" si="2"/>
        <v>#REF!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12">
        <v>183.0</v>
      </c>
      <c r="B185" s="13">
        <v>183.0</v>
      </c>
      <c r="C185" s="9" t="str">
        <f t="array" ref="C185">IFERROR(INDEX(Data!F:F, MATCH($E185, Data!$B:$B, 0)), "")</f>
        <v/>
      </c>
      <c r="D185" s="9" t="str">
        <f t="array" ref="D185">IFERROR(INDEX(Data!A:A, MATCH($E185, Data!$B:$B, 0)), "")</f>
        <v/>
      </c>
      <c r="E185" s="9" t="str">
        <f>LARGE(Data!$B$2:$B1000,A185 )</f>
        <v>#NUM!</v>
      </c>
      <c r="F185" s="9" t="str">
        <f t="array" ref="F185">IFERROR(INDEX(Data!C:C, MATCH($E185, Data!$B:$B, 0)), "")</f>
        <v/>
      </c>
      <c r="G185" s="9" t="str">
        <f t="array" ref="G185">IFERROR(INDEX(Data!D:D, MATCH($E185, Data!$B:$B, 0)), "")</f>
        <v/>
      </c>
      <c r="H185" s="9" t="str">
        <f t="array" ref="H185">IFERROR(INDEX(Data!E:E, MATCH($E185, Data!$B:$B, 0)), "")</f>
        <v/>
      </c>
      <c r="I185" s="9" t="str">
        <f t="shared" si="1"/>
        <v/>
      </c>
      <c r="J185" s="9" t="str">
        <f t="shared" si="2"/>
        <v>#REF!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12">
        <v>184.0</v>
      </c>
      <c r="B186" s="13">
        <v>184.0</v>
      </c>
      <c r="C186" s="9" t="str">
        <f t="array" ref="C186">IFERROR(INDEX(Data!F:F, MATCH($E186, Data!$B:$B, 0)), "")</f>
        <v/>
      </c>
      <c r="D186" s="9" t="str">
        <f t="array" ref="D186">IFERROR(INDEX(Data!A:A, MATCH($E186, Data!$B:$B, 0)), "")</f>
        <v/>
      </c>
      <c r="E186" s="9" t="str">
        <f>LARGE(Data!$B$2:$B1000,A186 )</f>
        <v>#NUM!</v>
      </c>
      <c r="F186" s="9" t="str">
        <f t="array" ref="F186">IFERROR(INDEX(Data!C:C, MATCH($E186, Data!$B:$B, 0)), "")</f>
        <v/>
      </c>
      <c r="G186" s="9" t="str">
        <f t="array" ref="G186">IFERROR(INDEX(Data!D:D, MATCH($E186, Data!$B:$B, 0)), "")</f>
        <v/>
      </c>
      <c r="H186" s="9" t="str">
        <f t="array" ref="H186">IFERROR(INDEX(Data!E:E, MATCH($E186, Data!$B:$B, 0)), "")</f>
        <v/>
      </c>
      <c r="I186" s="9" t="str">
        <f t="shared" si="1"/>
        <v/>
      </c>
      <c r="J186" s="9" t="str">
        <f t="shared" si="2"/>
        <v>#REF!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12">
        <v>185.0</v>
      </c>
      <c r="B187" s="13">
        <v>185.0</v>
      </c>
      <c r="C187" s="9" t="str">
        <f t="array" ref="C187">IFERROR(INDEX(Data!F:F, MATCH($E187, Data!$B:$B, 0)), "")</f>
        <v/>
      </c>
      <c r="D187" s="9" t="str">
        <f t="array" ref="D187">IFERROR(INDEX(Data!A:A, MATCH($E187, Data!$B:$B, 0)), "")</f>
        <v/>
      </c>
      <c r="E187" s="9" t="str">
        <f>LARGE(Data!$B$2:$B1000,A187 )</f>
        <v>#NUM!</v>
      </c>
      <c r="F187" s="9" t="str">
        <f t="array" ref="F187">IFERROR(INDEX(Data!C:C, MATCH($E187, Data!$B:$B, 0)), "")</f>
        <v/>
      </c>
      <c r="G187" s="9" t="str">
        <f t="array" ref="G187">IFERROR(INDEX(Data!D:D, MATCH($E187, Data!$B:$B, 0)), "")</f>
        <v/>
      </c>
      <c r="H187" s="9" t="str">
        <f t="array" ref="H187">IFERROR(INDEX(Data!E:E, MATCH($E187, Data!$B:$B, 0)), "")</f>
        <v/>
      </c>
      <c r="I187" s="9" t="str">
        <f t="shared" si="1"/>
        <v/>
      </c>
      <c r="J187" s="9" t="str">
        <f t="shared" si="2"/>
        <v>#REF!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12">
        <v>186.0</v>
      </c>
      <c r="B188" s="13">
        <v>186.0</v>
      </c>
      <c r="C188" s="9" t="str">
        <f t="array" ref="C188">IFERROR(INDEX(Data!F:F, MATCH($E188, Data!$B:$B, 0)), "")</f>
        <v/>
      </c>
      <c r="D188" s="9" t="str">
        <f t="array" ref="D188">IFERROR(INDEX(Data!A:A, MATCH($E188, Data!$B:$B, 0)), "")</f>
        <v/>
      </c>
      <c r="E188" s="9" t="str">
        <f>LARGE(Data!$B$2:$B1000,A188 )</f>
        <v>#NUM!</v>
      </c>
      <c r="F188" s="9" t="str">
        <f t="array" ref="F188">IFERROR(INDEX(Data!C:C, MATCH($E188, Data!$B:$B, 0)), "")</f>
        <v/>
      </c>
      <c r="G188" s="9" t="str">
        <f t="array" ref="G188">IFERROR(INDEX(Data!D:D, MATCH($E188, Data!$B:$B, 0)), "")</f>
        <v/>
      </c>
      <c r="H188" s="9" t="str">
        <f t="array" ref="H188">IFERROR(INDEX(Data!E:E, MATCH($E188, Data!$B:$B, 0)), "")</f>
        <v/>
      </c>
      <c r="I188" s="9" t="str">
        <f t="shared" si="1"/>
        <v/>
      </c>
      <c r="J188" s="9" t="str">
        <f t="shared" si="2"/>
        <v>#REF!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12">
        <v>187.0</v>
      </c>
      <c r="B189" s="13">
        <v>187.0</v>
      </c>
      <c r="C189" s="9" t="str">
        <f t="array" ref="C189">IFERROR(INDEX(Data!F:F, MATCH($E189, Data!$B:$B, 0)), "")</f>
        <v/>
      </c>
      <c r="D189" s="9" t="str">
        <f t="array" ref="D189">IFERROR(INDEX(Data!A:A, MATCH($E189, Data!$B:$B, 0)), "")</f>
        <v/>
      </c>
      <c r="E189" s="9" t="str">
        <f>LARGE(Data!$B$2:$B1000,A189 )</f>
        <v>#NUM!</v>
      </c>
      <c r="F189" s="9" t="str">
        <f t="array" ref="F189">IFERROR(INDEX(Data!C:C, MATCH($E189, Data!$B:$B, 0)), "")</f>
        <v/>
      </c>
      <c r="G189" s="9" t="str">
        <f t="array" ref="G189">IFERROR(INDEX(Data!D:D, MATCH($E189, Data!$B:$B, 0)), "")</f>
        <v/>
      </c>
      <c r="H189" s="9" t="str">
        <f t="array" ref="H189">IFERROR(INDEX(Data!E:E, MATCH($E189, Data!$B:$B, 0)), "")</f>
        <v/>
      </c>
      <c r="I189" s="9" t="str">
        <f t="shared" si="1"/>
        <v/>
      </c>
      <c r="J189" s="9" t="str">
        <f t="shared" si="2"/>
        <v>#REF!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12">
        <v>188.0</v>
      </c>
      <c r="B190" s="13">
        <v>188.0</v>
      </c>
      <c r="C190" s="9" t="str">
        <f t="array" ref="C190">IFERROR(INDEX(Data!F:F, MATCH($E190, Data!$B:$B, 0)), "")</f>
        <v/>
      </c>
      <c r="D190" s="9" t="str">
        <f t="array" ref="D190">IFERROR(INDEX(Data!A:A, MATCH($E190, Data!$B:$B, 0)), "")</f>
        <v/>
      </c>
      <c r="E190" s="9" t="str">
        <f>LARGE(Data!$B$2:$B1000,A190 )</f>
        <v>#NUM!</v>
      </c>
      <c r="F190" s="9" t="str">
        <f t="array" ref="F190">IFERROR(INDEX(Data!C:C, MATCH($E190, Data!$B:$B, 0)), "")</f>
        <v/>
      </c>
      <c r="G190" s="9" t="str">
        <f t="array" ref="G190">IFERROR(INDEX(Data!D:D, MATCH($E190, Data!$B:$B, 0)), "")</f>
        <v/>
      </c>
      <c r="H190" s="9" t="str">
        <f t="array" ref="H190">IFERROR(INDEX(Data!E:E, MATCH($E190, Data!$B:$B, 0)), "")</f>
        <v/>
      </c>
      <c r="I190" s="9" t="str">
        <f t="shared" si="1"/>
        <v/>
      </c>
      <c r="J190" s="9" t="str">
        <f t="shared" si="2"/>
        <v>#REF!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12">
        <v>189.0</v>
      </c>
      <c r="B191" s="13">
        <v>189.0</v>
      </c>
      <c r="C191" s="9" t="str">
        <f t="array" ref="C191">IFERROR(INDEX(Data!F:F, MATCH($E191, Data!$B:$B, 0)), "")</f>
        <v/>
      </c>
      <c r="D191" s="9" t="str">
        <f t="array" ref="D191">IFERROR(INDEX(Data!A:A, MATCH($E191, Data!$B:$B, 0)), "")</f>
        <v/>
      </c>
      <c r="E191" s="9" t="str">
        <f>LARGE(Data!$B$2:$B1000,A191 )</f>
        <v>#NUM!</v>
      </c>
      <c r="F191" s="9" t="str">
        <f t="array" ref="F191">IFERROR(INDEX(Data!C:C, MATCH($E191, Data!$B:$B, 0)), "")</f>
        <v/>
      </c>
      <c r="G191" s="9" t="str">
        <f t="array" ref="G191">IFERROR(INDEX(Data!D:D, MATCH($E191, Data!$B:$B, 0)), "")</f>
        <v/>
      </c>
      <c r="H191" s="9" t="str">
        <f t="array" ref="H191">IFERROR(INDEX(Data!E:E, MATCH($E191, Data!$B:$B, 0)), "")</f>
        <v/>
      </c>
      <c r="I191" s="9" t="str">
        <f t="shared" si="1"/>
        <v/>
      </c>
      <c r="J191" s="9" t="str">
        <f t="shared" si="2"/>
        <v>#REF!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12">
        <v>190.0</v>
      </c>
      <c r="B192" s="13">
        <v>190.0</v>
      </c>
      <c r="C192" s="9" t="str">
        <f t="array" ref="C192">IFERROR(INDEX(Data!F:F, MATCH($E192, Data!$B:$B, 0)), "")</f>
        <v/>
      </c>
      <c r="D192" s="9" t="str">
        <f t="array" ref="D192">IFERROR(INDEX(Data!A:A, MATCH($E192, Data!$B:$B, 0)), "")</f>
        <v/>
      </c>
      <c r="E192" s="9" t="str">
        <f>LARGE(Data!$B$2:$B1000,A192 )</f>
        <v>#NUM!</v>
      </c>
      <c r="F192" s="9" t="str">
        <f t="array" ref="F192">IFERROR(INDEX(Data!C:C, MATCH($E192, Data!$B:$B, 0)), "")</f>
        <v/>
      </c>
      <c r="G192" s="9" t="str">
        <f t="array" ref="G192">IFERROR(INDEX(Data!D:D, MATCH($E192, Data!$B:$B, 0)), "")</f>
        <v/>
      </c>
      <c r="H192" s="9" t="str">
        <f t="array" ref="H192">IFERROR(INDEX(Data!E:E, MATCH($E192, Data!$B:$B, 0)), "")</f>
        <v/>
      </c>
      <c r="I192" s="9" t="str">
        <f t="shared" si="1"/>
        <v/>
      </c>
      <c r="J192" s="9" t="str">
        <f t="shared" si="2"/>
        <v>#REF!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12">
        <v>191.0</v>
      </c>
      <c r="B193" s="13">
        <v>191.0</v>
      </c>
      <c r="C193" s="9" t="str">
        <f t="array" ref="C193">IFERROR(INDEX(Data!F:F, MATCH($E193, Data!$B:$B, 0)), "")</f>
        <v/>
      </c>
      <c r="D193" s="9" t="str">
        <f t="array" ref="D193">IFERROR(INDEX(Data!A:A, MATCH($E193, Data!$B:$B, 0)), "")</f>
        <v/>
      </c>
      <c r="E193" s="9" t="str">
        <f>LARGE(Data!$B$2:$B1000,A193 )</f>
        <v>#NUM!</v>
      </c>
      <c r="F193" s="9" t="str">
        <f t="array" ref="F193">IFERROR(INDEX(Data!C:C, MATCH($E193, Data!$B:$B, 0)), "")</f>
        <v/>
      </c>
      <c r="G193" s="9" t="str">
        <f t="array" ref="G193">IFERROR(INDEX(Data!D:D, MATCH($E193, Data!$B:$B, 0)), "")</f>
        <v/>
      </c>
      <c r="H193" s="9" t="str">
        <f t="array" ref="H193">IFERROR(INDEX(Data!E:E, MATCH($E193, Data!$B:$B, 0)), "")</f>
        <v/>
      </c>
      <c r="I193" s="9" t="str">
        <f t="shared" si="1"/>
        <v/>
      </c>
      <c r="J193" s="9" t="str">
        <f t="shared" si="2"/>
        <v>#REF!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12">
        <v>192.0</v>
      </c>
      <c r="B194" s="13">
        <v>192.0</v>
      </c>
      <c r="C194" s="9" t="str">
        <f t="array" ref="C194">IFERROR(INDEX(Data!F:F, MATCH($E194, Data!$B:$B, 0)), "")</f>
        <v/>
      </c>
      <c r="D194" s="9" t="str">
        <f t="array" ref="D194">IFERROR(INDEX(Data!A:A, MATCH($E194, Data!$B:$B, 0)), "")</f>
        <v/>
      </c>
      <c r="E194" s="9" t="str">
        <f>LARGE(Data!$B$2:$B1000,A194 )</f>
        <v>#NUM!</v>
      </c>
      <c r="F194" s="9" t="str">
        <f t="array" ref="F194">IFERROR(INDEX(Data!C:C, MATCH($E194, Data!$B:$B, 0)), "")</f>
        <v/>
      </c>
      <c r="G194" s="9" t="str">
        <f t="array" ref="G194">IFERROR(INDEX(Data!D:D, MATCH($E194, Data!$B:$B, 0)), "")</f>
        <v/>
      </c>
      <c r="H194" s="9" t="str">
        <f t="array" ref="H194">IFERROR(INDEX(Data!E:E, MATCH($E194, Data!$B:$B, 0)), "")</f>
        <v/>
      </c>
      <c r="I194" s="9" t="str">
        <f t="shared" si="1"/>
        <v/>
      </c>
      <c r="J194" s="9" t="str">
        <f t="shared" si="2"/>
        <v>#REF!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12">
        <v>193.0</v>
      </c>
      <c r="B195" s="13">
        <v>193.0</v>
      </c>
      <c r="C195" s="9" t="str">
        <f t="array" ref="C195">IFERROR(INDEX(Data!F:F, MATCH($E195, Data!$B:$B, 0)), "")</f>
        <v/>
      </c>
      <c r="D195" s="9" t="str">
        <f t="array" ref="D195">IFERROR(INDEX(Data!A:A, MATCH($E195, Data!$B:$B, 0)), "")</f>
        <v/>
      </c>
      <c r="E195" s="9" t="str">
        <f>LARGE(Data!$B$2:$B1000,A195 )</f>
        <v>#NUM!</v>
      </c>
      <c r="F195" s="9" t="str">
        <f t="array" ref="F195">IFERROR(INDEX(Data!C:C, MATCH($E195, Data!$B:$B, 0)), "")</f>
        <v/>
      </c>
      <c r="G195" s="9" t="str">
        <f t="array" ref="G195">IFERROR(INDEX(Data!D:D, MATCH($E195, Data!$B:$B, 0)), "")</f>
        <v/>
      </c>
      <c r="H195" s="9" t="str">
        <f t="array" ref="H195">IFERROR(INDEX(Data!E:E, MATCH($E195, Data!$B:$B, 0)), "")</f>
        <v/>
      </c>
      <c r="I195" s="9" t="str">
        <f t="shared" si="1"/>
        <v/>
      </c>
      <c r="J195" s="9" t="str">
        <f t="shared" si="2"/>
        <v>#REF!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12">
        <v>194.0</v>
      </c>
      <c r="B196" s="13">
        <v>194.0</v>
      </c>
      <c r="C196" s="9" t="str">
        <f t="array" ref="C196">IFERROR(INDEX(Data!F:F, MATCH($E196, Data!$B:$B, 0)), "")</f>
        <v/>
      </c>
      <c r="D196" s="9" t="str">
        <f t="array" ref="D196">IFERROR(INDEX(Data!A:A, MATCH($E196, Data!$B:$B, 0)), "")</f>
        <v/>
      </c>
      <c r="E196" s="9" t="str">
        <f>LARGE(Data!$B$2:$B1000,A196 )</f>
        <v>#NUM!</v>
      </c>
      <c r="F196" s="9" t="str">
        <f t="array" ref="F196">IFERROR(INDEX(Data!C:C, MATCH($E196, Data!$B:$B, 0)), "")</f>
        <v/>
      </c>
      <c r="G196" s="9" t="str">
        <f t="array" ref="G196">IFERROR(INDEX(Data!D:D, MATCH($E196, Data!$B:$B, 0)), "")</f>
        <v/>
      </c>
      <c r="H196" s="9" t="str">
        <f t="array" ref="H196">IFERROR(INDEX(Data!E:E, MATCH($E196, Data!$B:$B, 0)), "")</f>
        <v/>
      </c>
      <c r="I196" s="9" t="str">
        <f t="shared" si="1"/>
        <v/>
      </c>
      <c r="J196" s="9" t="str">
        <f t="shared" si="2"/>
        <v>#REF!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12">
        <v>195.0</v>
      </c>
      <c r="B197" s="13">
        <v>195.0</v>
      </c>
      <c r="C197" s="9" t="str">
        <f t="array" ref="C197">IFERROR(INDEX(Data!F:F, MATCH($E197, Data!$B:$B, 0)), "")</f>
        <v/>
      </c>
      <c r="D197" s="9" t="str">
        <f t="array" ref="D197">IFERROR(INDEX(Data!A:A, MATCH($E197, Data!$B:$B, 0)), "")</f>
        <v/>
      </c>
      <c r="E197" s="9" t="str">
        <f>LARGE(Data!$B$2:$B1000,A197 )</f>
        <v>#NUM!</v>
      </c>
      <c r="F197" s="9" t="str">
        <f t="array" ref="F197">IFERROR(INDEX(Data!C:C, MATCH($E197, Data!$B:$B, 0)), "")</f>
        <v/>
      </c>
      <c r="G197" s="9" t="str">
        <f t="array" ref="G197">IFERROR(INDEX(Data!D:D, MATCH($E197, Data!$B:$B, 0)), "")</f>
        <v/>
      </c>
      <c r="H197" s="9" t="str">
        <f t="array" ref="H197">IFERROR(INDEX(Data!E:E, MATCH($E197, Data!$B:$B, 0)), "")</f>
        <v/>
      </c>
      <c r="I197" s="9" t="str">
        <f t="shared" si="1"/>
        <v/>
      </c>
      <c r="J197" s="9" t="str">
        <f t="shared" si="2"/>
        <v>#REF!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12">
        <v>196.0</v>
      </c>
      <c r="B198" s="13">
        <v>196.0</v>
      </c>
      <c r="C198" s="9" t="str">
        <f t="array" ref="C198">IFERROR(INDEX(Data!F:F, MATCH($E198, Data!$B:$B, 0)), "")</f>
        <v/>
      </c>
      <c r="D198" s="9" t="str">
        <f t="array" ref="D198">IFERROR(INDEX(Data!A:A, MATCH($E198, Data!$B:$B, 0)), "")</f>
        <v/>
      </c>
      <c r="E198" s="9" t="str">
        <f>LARGE(Data!$B$2:$B1000,A198 )</f>
        <v>#NUM!</v>
      </c>
      <c r="F198" s="9" t="str">
        <f t="array" ref="F198">IFERROR(INDEX(Data!C:C, MATCH($E198, Data!$B:$B, 0)), "")</f>
        <v/>
      </c>
      <c r="G198" s="9" t="str">
        <f t="array" ref="G198">IFERROR(INDEX(Data!D:D, MATCH($E198, Data!$B:$B, 0)), "")</f>
        <v/>
      </c>
      <c r="H198" s="9" t="str">
        <f t="array" ref="H198">IFERROR(INDEX(Data!E:E, MATCH($E198, Data!$B:$B, 0)), "")</f>
        <v/>
      </c>
      <c r="I198" s="9" t="str">
        <f t="shared" si="1"/>
        <v/>
      </c>
      <c r="J198" s="9" t="str">
        <f t="shared" si="2"/>
        <v>#REF!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12">
        <v>197.0</v>
      </c>
      <c r="B199" s="13">
        <v>197.0</v>
      </c>
      <c r="C199" s="9" t="str">
        <f t="array" ref="C199">IFERROR(INDEX(Data!F:F, MATCH($E199, Data!$B:$B, 0)), "")</f>
        <v/>
      </c>
      <c r="D199" s="9" t="str">
        <f t="array" ref="D199">IFERROR(INDEX(Data!A:A, MATCH($E199, Data!$B:$B, 0)), "")</f>
        <v/>
      </c>
      <c r="E199" s="9" t="str">
        <f>LARGE(Data!$B$2:$B1000,A199 )</f>
        <v>#NUM!</v>
      </c>
      <c r="F199" s="9" t="str">
        <f t="array" ref="F199">IFERROR(INDEX(Data!C:C, MATCH($E199, Data!$B:$B, 0)), "")</f>
        <v/>
      </c>
      <c r="G199" s="9" t="str">
        <f t="array" ref="G199">IFERROR(INDEX(Data!D:D, MATCH($E199, Data!$B:$B, 0)), "")</f>
        <v/>
      </c>
      <c r="H199" s="9" t="str">
        <f t="array" ref="H199">IFERROR(INDEX(Data!E:E, MATCH($E199, Data!$B:$B, 0)), "")</f>
        <v/>
      </c>
      <c r="I199" s="9" t="str">
        <f t="shared" si="1"/>
        <v/>
      </c>
      <c r="J199" s="9" t="str">
        <f t="shared" si="2"/>
        <v>#REF!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12">
        <v>198.0</v>
      </c>
      <c r="B200" s="13">
        <v>198.0</v>
      </c>
      <c r="C200" s="9" t="str">
        <f t="array" ref="C200">IFERROR(INDEX(Data!F:F, MATCH($E200, Data!$B:$B, 0)), "")</f>
        <v/>
      </c>
      <c r="D200" s="9" t="str">
        <f t="array" ref="D200">IFERROR(INDEX(Data!A:A, MATCH($E200, Data!$B:$B, 0)), "")</f>
        <v/>
      </c>
      <c r="E200" s="9" t="str">
        <f>LARGE(Data!$B$2:$B1000,A200 )</f>
        <v>#NUM!</v>
      </c>
      <c r="F200" s="9" t="str">
        <f t="array" ref="F200">IFERROR(INDEX(Data!C:C, MATCH($E200, Data!$B:$B, 0)), "")</f>
        <v/>
      </c>
      <c r="G200" s="9" t="str">
        <f t="array" ref="G200">IFERROR(INDEX(Data!D:D, MATCH($E200, Data!$B:$B, 0)), "")</f>
        <v/>
      </c>
      <c r="H200" s="9" t="str">
        <f t="array" ref="H200">IFERROR(INDEX(Data!E:E, MATCH($E200, Data!$B:$B, 0)), "")</f>
        <v/>
      </c>
      <c r="I200" s="9" t="str">
        <f t="shared" si="1"/>
        <v/>
      </c>
      <c r="J200" s="9" t="str">
        <f t="shared" si="2"/>
        <v>#REF!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12">
        <v>199.0</v>
      </c>
      <c r="B201" s="13">
        <v>199.0</v>
      </c>
      <c r="C201" s="9" t="str">
        <f t="array" ref="C201">IFERROR(INDEX(Data!F:F, MATCH($E201, Data!$B:$B, 0)), "")</f>
        <v/>
      </c>
      <c r="D201" s="9" t="str">
        <f t="array" ref="D201">IFERROR(INDEX(Data!A:A, MATCH($E201, Data!$B:$B, 0)), "")</f>
        <v/>
      </c>
      <c r="E201" s="9" t="str">
        <f>LARGE(Data!$B$2:$B1000,A201 )</f>
        <v>#NUM!</v>
      </c>
      <c r="F201" s="9" t="str">
        <f t="array" ref="F201">IFERROR(INDEX(Data!C:C, MATCH($E201, Data!$B:$B, 0)), "")</f>
        <v/>
      </c>
      <c r="G201" s="9" t="str">
        <f t="array" ref="G201">IFERROR(INDEX(Data!D:D, MATCH($E201, Data!$B:$B, 0)), "")</f>
        <v/>
      </c>
      <c r="H201" s="9" t="str">
        <f t="array" ref="H201">IFERROR(INDEX(Data!E:E, MATCH($E201, Data!$B:$B, 0)), "")</f>
        <v/>
      </c>
      <c r="I201" s="9" t="str">
        <f t="shared" si="1"/>
        <v/>
      </c>
      <c r="J201" s="9" t="str">
        <f t="shared" si="2"/>
        <v>#REF!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12">
        <v>200.0</v>
      </c>
      <c r="B202" s="13">
        <v>200.0</v>
      </c>
      <c r="C202" s="9" t="str">
        <f t="array" ref="C202">IFERROR(INDEX(Data!F:F, MATCH($E202, Data!$B:$B, 0)), "")</f>
        <v/>
      </c>
      <c r="D202" s="9" t="str">
        <f t="array" ref="D202">IFERROR(INDEX(Data!A:A, MATCH($E202, Data!$B:$B, 0)), "")</f>
        <v/>
      </c>
      <c r="E202" s="9" t="str">
        <f>LARGE(Data!$B$2:$B1000,A202 )</f>
        <v>#NUM!</v>
      </c>
      <c r="F202" s="9" t="str">
        <f t="array" ref="F202">IFERROR(INDEX(Data!C:C, MATCH($E202, Data!$B:$B, 0)), "")</f>
        <v/>
      </c>
      <c r="G202" s="9" t="str">
        <f t="array" ref="G202">IFERROR(INDEX(Data!D:D, MATCH($E202, Data!$B:$B, 0)), "")</f>
        <v/>
      </c>
      <c r="H202" s="9" t="str">
        <f t="array" ref="H202">IFERROR(INDEX(Data!E:E, MATCH($E202, Data!$B:$B, 0)), "")</f>
        <v/>
      </c>
      <c r="I202" s="9" t="str">
        <f t="shared" si="1"/>
        <v/>
      </c>
      <c r="J202" s="9" t="str">
        <f t="shared" si="2"/>
        <v>#REF!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12">
        <v>201.0</v>
      </c>
      <c r="B203" s="13">
        <v>201.0</v>
      </c>
      <c r="C203" s="9" t="str">
        <f t="array" ref="C203">IFERROR(INDEX(Data!F:F, MATCH($E203, Data!$B:$B, 0)), "")</f>
        <v/>
      </c>
      <c r="D203" s="9" t="str">
        <f t="array" ref="D203">IFERROR(INDEX(Data!A:A, MATCH($E203, Data!$B:$B, 0)), "")</f>
        <v/>
      </c>
      <c r="E203" s="9" t="str">
        <f>LARGE(Data!$B$2:$B1000,A203 )</f>
        <v>#NUM!</v>
      </c>
      <c r="F203" s="9" t="str">
        <f t="array" ref="F203">IFERROR(INDEX(Data!C:C, MATCH($E203, Data!$B:$B, 0)), "")</f>
        <v/>
      </c>
      <c r="G203" s="9" t="str">
        <f t="array" ref="G203">IFERROR(INDEX(Data!D:D, MATCH($E203, Data!$B:$B, 0)), "")</f>
        <v/>
      </c>
      <c r="H203" s="9" t="str">
        <f t="array" ref="H203">IFERROR(INDEX(Data!E:E, MATCH($E203, Data!$B:$B, 0)), "")</f>
        <v/>
      </c>
      <c r="I203" s="9" t="str">
        <f t="shared" si="1"/>
        <v/>
      </c>
      <c r="J203" s="9" t="str">
        <f t="shared" si="2"/>
        <v>#REF!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12">
        <v>202.0</v>
      </c>
      <c r="B204" s="13">
        <v>202.0</v>
      </c>
      <c r="C204" s="9" t="str">
        <f t="array" ref="C204">IFERROR(INDEX(Data!F:F, MATCH($E204, Data!$B:$B, 0)), "")</f>
        <v/>
      </c>
      <c r="D204" s="9" t="str">
        <f t="array" ref="D204">IFERROR(INDEX(Data!A:A, MATCH($E204, Data!$B:$B, 0)), "")</f>
        <v/>
      </c>
      <c r="E204" s="9" t="str">
        <f>LARGE(Data!$B$2:$B1000,A204 )</f>
        <v>#NUM!</v>
      </c>
      <c r="F204" s="9" t="str">
        <f t="array" ref="F204">IFERROR(INDEX(Data!C:C, MATCH($E204, Data!$B:$B, 0)), "")</f>
        <v/>
      </c>
      <c r="G204" s="9" t="str">
        <f t="array" ref="G204">IFERROR(INDEX(Data!D:D, MATCH($E204, Data!$B:$B, 0)), "")</f>
        <v/>
      </c>
      <c r="H204" s="9" t="str">
        <f t="array" ref="H204">IFERROR(INDEX(Data!E:E, MATCH($E204, Data!$B:$B, 0)), "")</f>
        <v/>
      </c>
      <c r="I204" s="9" t="str">
        <f t="shared" si="1"/>
        <v/>
      </c>
      <c r="J204" s="9" t="str">
        <f t="shared" si="2"/>
        <v>#REF!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12">
        <v>203.0</v>
      </c>
      <c r="B205" s="13">
        <v>203.0</v>
      </c>
      <c r="C205" s="9" t="str">
        <f t="array" ref="C205">IFERROR(INDEX(Data!F:F, MATCH($E205, Data!$B:$B, 0)), "")</f>
        <v/>
      </c>
      <c r="D205" s="9" t="str">
        <f t="array" ref="D205">IFERROR(INDEX(Data!A:A, MATCH($E205, Data!$B:$B, 0)), "")</f>
        <v/>
      </c>
      <c r="E205" s="9" t="str">
        <f>LARGE(Data!$B$2:$B1000,A205 )</f>
        <v>#NUM!</v>
      </c>
      <c r="F205" s="9" t="str">
        <f t="array" ref="F205">IFERROR(INDEX(Data!C:C, MATCH($E205, Data!$B:$B, 0)), "")</f>
        <v/>
      </c>
      <c r="G205" s="9" t="str">
        <f t="array" ref="G205">IFERROR(INDEX(Data!D:D, MATCH($E205, Data!$B:$B, 0)), "")</f>
        <v/>
      </c>
      <c r="H205" s="9" t="str">
        <f t="array" ref="H205">IFERROR(INDEX(Data!E:E, MATCH($E205, Data!$B:$B, 0)), "")</f>
        <v/>
      </c>
      <c r="I205" s="9" t="str">
        <f t="shared" si="1"/>
        <v/>
      </c>
      <c r="J205" s="9" t="str">
        <f t="shared" si="2"/>
        <v>#REF!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12">
        <v>204.0</v>
      </c>
      <c r="B206" s="13">
        <v>204.0</v>
      </c>
      <c r="C206" s="9" t="str">
        <f t="array" ref="C206">IFERROR(INDEX(Data!F:F, MATCH($E206, Data!$B:$B, 0)), "")</f>
        <v/>
      </c>
      <c r="D206" s="9" t="str">
        <f t="array" ref="D206">IFERROR(INDEX(Data!A:A, MATCH($E206, Data!$B:$B, 0)), "")</f>
        <v/>
      </c>
      <c r="E206" s="9" t="str">
        <f>LARGE(Data!$B$2:$B1000,A206 )</f>
        <v>#NUM!</v>
      </c>
      <c r="F206" s="9" t="str">
        <f t="array" ref="F206">IFERROR(INDEX(Data!C:C, MATCH($E206, Data!$B:$B, 0)), "")</f>
        <v/>
      </c>
      <c r="G206" s="9" t="str">
        <f t="array" ref="G206">IFERROR(INDEX(Data!D:D, MATCH($E206, Data!$B:$B, 0)), "")</f>
        <v/>
      </c>
      <c r="H206" s="9" t="str">
        <f t="array" ref="H206">IFERROR(INDEX(Data!E:E, MATCH($E206, Data!$B:$B, 0)), "")</f>
        <v/>
      </c>
      <c r="I206" s="9" t="str">
        <f t="shared" si="1"/>
        <v/>
      </c>
      <c r="J206" s="9" t="str">
        <f t="shared" si="2"/>
        <v>#REF!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12">
        <v>205.0</v>
      </c>
      <c r="B207" s="13">
        <v>205.0</v>
      </c>
      <c r="C207" s="9" t="str">
        <f t="array" ref="C207">IFERROR(INDEX(Data!F:F, MATCH($E207, Data!$B:$B, 0)), "")</f>
        <v/>
      </c>
      <c r="D207" s="9" t="str">
        <f t="array" ref="D207">IFERROR(INDEX(Data!A:A, MATCH($E207, Data!$B:$B, 0)), "")</f>
        <v/>
      </c>
      <c r="E207" s="9" t="str">
        <f>LARGE(Data!$B$2:$B1000,A207 )</f>
        <v>#NUM!</v>
      </c>
      <c r="F207" s="9" t="str">
        <f t="array" ref="F207">IFERROR(INDEX(Data!C:C, MATCH($E207, Data!$B:$B, 0)), "")</f>
        <v/>
      </c>
      <c r="G207" s="9" t="str">
        <f t="array" ref="G207">IFERROR(INDEX(Data!D:D, MATCH($E207, Data!$B:$B, 0)), "")</f>
        <v/>
      </c>
      <c r="H207" s="9" t="str">
        <f t="array" ref="H207">IFERROR(INDEX(Data!E:E, MATCH($E207, Data!$B:$B, 0)), "")</f>
        <v/>
      </c>
      <c r="I207" s="9" t="str">
        <f t="shared" si="1"/>
        <v/>
      </c>
      <c r="J207" s="9" t="str">
        <f t="shared" si="2"/>
        <v>#REF!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12">
        <v>206.0</v>
      </c>
      <c r="B208" s="13">
        <v>206.0</v>
      </c>
      <c r="C208" s="9" t="str">
        <f t="array" ref="C208">IFERROR(INDEX(Data!F:F, MATCH($E208, Data!$B:$B, 0)), "")</f>
        <v/>
      </c>
      <c r="D208" s="9" t="str">
        <f t="array" ref="D208">IFERROR(INDEX(Data!A:A, MATCH($E208, Data!$B:$B, 0)), "")</f>
        <v/>
      </c>
      <c r="E208" s="9" t="str">
        <f>LARGE(Data!$B$2:$B1000,A208 )</f>
        <v>#NUM!</v>
      </c>
      <c r="F208" s="9" t="str">
        <f t="array" ref="F208">IFERROR(INDEX(Data!C:C, MATCH($E208, Data!$B:$B, 0)), "")</f>
        <v/>
      </c>
      <c r="G208" s="9" t="str">
        <f t="array" ref="G208">IFERROR(INDEX(Data!D:D, MATCH($E208, Data!$B:$B, 0)), "")</f>
        <v/>
      </c>
      <c r="H208" s="9" t="str">
        <f t="array" ref="H208">IFERROR(INDEX(Data!E:E, MATCH($E208, Data!$B:$B, 0)), "")</f>
        <v/>
      </c>
      <c r="I208" s="9" t="str">
        <f t="shared" si="1"/>
        <v/>
      </c>
      <c r="J208" s="9" t="str">
        <f t="shared" si="2"/>
        <v>#REF!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12">
        <v>207.0</v>
      </c>
      <c r="B209" s="13">
        <v>207.0</v>
      </c>
      <c r="C209" s="9" t="str">
        <f t="array" ref="C209">IFERROR(INDEX(Data!F:F, MATCH($E209, Data!$B:$B, 0)), "")</f>
        <v/>
      </c>
      <c r="D209" s="9" t="str">
        <f t="array" ref="D209">IFERROR(INDEX(Data!A:A, MATCH($E209, Data!$B:$B, 0)), "")</f>
        <v/>
      </c>
      <c r="E209" s="9" t="str">
        <f>LARGE(Data!$B$2:$B1000,A209 )</f>
        <v>#NUM!</v>
      </c>
      <c r="F209" s="9" t="str">
        <f t="array" ref="F209">IFERROR(INDEX(Data!C:C, MATCH($E209, Data!$B:$B, 0)), "")</f>
        <v/>
      </c>
      <c r="G209" s="9" t="str">
        <f t="array" ref="G209">IFERROR(INDEX(Data!D:D, MATCH($E209, Data!$B:$B, 0)), "")</f>
        <v/>
      </c>
      <c r="H209" s="9" t="str">
        <f t="array" ref="H209">IFERROR(INDEX(Data!E:E, MATCH($E209, Data!$B:$B, 0)), "")</f>
        <v/>
      </c>
      <c r="I209" s="9" t="str">
        <f t="shared" si="1"/>
        <v/>
      </c>
      <c r="J209" s="9" t="str">
        <f t="shared" si="2"/>
        <v>#REF!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12">
        <v>208.0</v>
      </c>
      <c r="B210" s="13">
        <v>208.0</v>
      </c>
      <c r="C210" s="9" t="str">
        <f t="array" ref="C210">IFERROR(INDEX(Data!F:F, MATCH($E210, Data!$B:$B, 0)), "")</f>
        <v/>
      </c>
      <c r="D210" s="9" t="str">
        <f t="array" ref="D210">IFERROR(INDEX(Data!A:A, MATCH($E210, Data!$B:$B, 0)), "")</f>
        <v/>
      </c>
      <c r="E210" s="9" t="str">
        <f>LARGE(Data!$B$2:$B1000,A210 )</f>
        <v>#NUM!</v>
      </c>
      <c r="F210" s="9" t="str">
        <f t="array" ref="F210">IFERROR(INDEX(Data!C:C, MATCH($E210, Data!$B:$B, 0)), "")</f>
        <v/>
      </c>
      <c r="G210" s="9" t="str">
        <f t="array" ref="G210">IFERROR(INDEX(Data!D:D, MATCH($E210, Data!$B:$B, 0)), "")</f>
        <v/>
      </c>
      <c r="H210" s="9" t="str">
        <f t="array" ref="H210">IFERROR(INDEX(Data!E:E, MATCH($E210, Data!$B:$B, 0)), "")</f>
        <v/>
      </c>
      <c r="I210" s="9" t="str">
        <f t="shared" si="1"/>
        <v/>
      </c>
      <c r="J210" s="9" t="str">
        <f t="shared" si="2"/>
        <v>#REF!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12">
        <v>209.0</v>
      </c>
      <c r="B211" s="13">
        <v>209.0</v>
      </c>
      <c r="C211" s="9" t="str">
        <f t="array" ref="C211">IFERROR(INDEX(Data!F:F, MATCH($E211, Data!$B:$B, 0)), "")</f>
        <v/>
      </c>
      <c r="D211" s="9" t="str">
        <f t="array" ref="D211">IFERROR(INDEX(Data!A:A, MATCH($E211, Data!$B:$B, 0)), "")</f>
        <v/>
      </c>
      <c r="E211" s="9" t="str">
        <f>LARGE(Data!$B$2:$B1000,A211 )</f>
        <v>#NUM!</v>
      </c>
      <c r="F211" s="9" t="str">
        <f t="array" ref="F211">IFERROR(INDEX(Data!C:C, MATCH($E211, Data!$B:$B, 0)), "")</f>
        <v/>
      </c>
      <c r="G211" s="9" t="str">
        <f t="array" ref="G211">IFERROR(INDEX(Data!D:D, MATCH($E211, Data!$B:$B, 0)), "")</f>
        <v/>
      </c>
      <c r="H211" s="9" t="str">
        <f t="array" ref="H211">IFERROR(INDEX(Data!E:E, MATCH($E211, Data!$B:$B, 0)), "")</f>
        <v/>
      </c>
      <c r="I211" s="9" t="str">
        <f t="shared" si="1"/>
        <v/>
      </c>
      <c r="J211" s="9" t="str">
        <f t="shared" si="2"/>
        <v>#REF!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12">
        <v>210.0</v>
      </c>
      <c r="B212" s="13">
        <v>210.0</v>
      </c>
      <c r="C212" s="9" t="str">
        <f t="array" ref="C212">IFERROR(INDEX(Data!F:F, MATCH($E212, Data!$B:$B, 0)), "")</f>
        <v/>
      </c>
      <c r="D212" s="9" t="str">
        <f t="array" ref="D212">IFERROR(INDEX(Data!A:A, MATCH($E212, Data!$B:$B, 0)), "")</f>
        <v/>
      </c>
      <c r="E212" s="9" t="str">
        <f>LARGE(Data!$B$2:$B1000,A212 )</f>
        <v>#NUM!</v>
      </c>
      <c r="F212" s="9" t="str">
        <f t="array" ref="F212">IFERROR(INDEX(Data!C:C, MATCH($E212, Data!$B:$B, 0)), "")</f>
        <v/>
      </c>
      <c r="G212" s="9" t="str">
        <f t="array" ref="G212">IFERROR(INDEX(Data!D:D, MATCH($E212, Data!$B:$B, 0)), "")</f>
        <v/>
      </c>
      <c r="H212" s="9" t="str">
        <f t="array" ref="H212">IFERROR(INDEX(Data!E:E, MATCH($E212, Data!$B:$B, 0)), "")</f>
        <v/>
      </c>
      <c r="I212" s="9" t="str">
        <f t="shared" si="1"/>
        <v/>
      </c>
      <c r="J212" s="9" t="str">
        <f t="shared" si="2"/>
        <v>#REF!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12">
        <v>211.0</v>
      </c>
      <c r="B213" s="13">
        <v>211.0</v>
      </c>
      <c r="C213" s="9" t="str">
        <f t="array" ref="C213">IFERROR(INDEX(Data!F:F, MATCH($E213, Data!$B:$B, 0)), "")</f>
        <v/>
      </c>
      <c r="D213" s="9" t="str">
        <f t="array" ref="D213">IFERROR(INDEX(Data!A:A, MATCH($E213, Data!$B:$B, 0)), "")</f>
        <v/>
      </c>
      <c r="E213" s="9" t="str">
        <f>LARGE(Data!$B$2:$B1000,A213 )</f>
        <v>#NUM!</v>
      </c>
      <c r="F213" s="9" t="str">
        <f t="array" ref="F213">IFERROR(INDEX(Data!C:C, MATCH($E213, Data!$B:$B, 0)), "")</f>
        <v/>
      </c>
      <c r="G213" s="9" t="str">
        <f t="array" ref="G213">IFERROR(INDEX(Data!D:D, MATCH($E213, Data!$B:$B, 0)), "")</f>
        <v/>
      </c>
      <c r="H213" s="9" t="str">
        <f t="array" ref="H213">IFERROR(INDEX(Data!E:E, MATCH($E213, Data!$B:$B, 0)), "")</f>
        <v/>
      </c>
      <c r="I213" s="9" t="str">
        <f t="shared" si="1"/>
        <v/>
      </c>
      <c r="J213" s="9" t="str">
        <f t="shared" si="2"/>
        <v>#REF!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12">
        <v>212.0</v>
      </c>
      <c r="B214" s="13">
        <v>212.0</v>
      </c>
      <c r="C214" s="9" t="str">
        <f t="array" ref="C214">IFERROR(INDEX(Data!F:F, MATCH($E214, Data!$B:$B, 0)), "")</f>
        <v/>
      </c>
      <c r="D214" s="9" t="str">
        <f t="array" ref="D214">IFERROR(INDEX(Data!A:A, MATCH($E214, Data!$B:$B, 0)), "")</f>
        <v/>
      </c>
      <c r="E214" s="9" t="str">
        <f>LARGE(Data!$B$2:$B1000,A214 )</f>
        <v>#NUM!</v>
      </c>
      <c r="F214" s="9" t="str">
        <f t="array" ref="F214">IFERROR(INDEX(Data!C:C, MATCH($E214, Data!$B:$B, 0)), "")</f>
        <v/>
      </c>
      <c r="G214" s="9" t="str">
        <f t="array" ref="G214">IFERROR(INDEX(Data!D:D, MATCH($E214, Data!$B:$B, 0)), "")</f>
        <v/>
      </c>
      <c r="H214" s="9" t="str">
        <f t="array" ref="H214">IFERROR(INDEX(Data!E:E, MATCH($E214, Data!$B:$B, 0)), "")</f>
        <v/>
      </c>
      <c r="I214" s="9" t="str">
        <f t="shared" si="1"/>
        <v/>
      </c>
      <c r="J214" s="9" t="str">
        <f t="shared" si="2"/>
        <v>#REF!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12">
        <v>213.0</v>
      </c>
      <c r="B215" s="13">
        <v>213.0</v>
      </c>
      <c r="C215" s="9" t="str">
        <f t="array" ref="C215">IFERROR(INDEX(Data!F:F, MATCH($E215, Data!$B:$B, 0)), "")</f>
        <v/>
      </c>
      <c r="D215" s="9" t="str">
        <f t="array" ref="D215">IFERROR(INDEX(Data!A:A, MATCH($E215, Data!$B:$B, 0)), "")</f>
        <v/>
      </c>
      <c r="E215" s="9" t="str">
        <f>LARGE(Data!$B$2:$B1000,A215 )</f>
        <v>#NUM!</v>
      </c>
      <c r="F215" s="9" t="str">
        <f t="array" ref="F215">IFERROR(INDEX(Data!C:C, MATCH($E215, Data!$B:$B, 0)), "")</f>
        <v/>
      </c>
      <c r="G215" s="9" t="str">
        <f t="array" ref="G215">IFERROR(INDEX(Data!D:D, MATCH($E215, Data!$B:$B, 0)), "")</f>
        <v/>
      </c>
      <c r="H215" s="9" t="str">
        <f t="array" ref="H215">IFERROR(INDEX(Data!E:E, MATCH($E215, Data!$B:$B, 0)), "")</f>
        <v/>
      </c>
      <c r="I215" s="9" t="str">
        <f t="shared" si="1"/>
        <v/>
      </c>
      <c r="J215" s="9" t="str">
        <f t="shared" si="2"/>
        <v>#REF!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12">
        <v>214.0</v>
      </c>
      <c r="B216" s="13">
        <v>214.0</v>
      </c>
      <c r="C216" s="9" t="str">
        <f t="array" ref="C216">IFERROR(INDEX(Data!F:F, MATCH($E216, Data!$B:$B, 0)), "")</f>
        <v/>
      </c>
      <c r="D216" s="9" t="str">
        <f t="array" ref="D216">IFERROR(INDEX(Data!A:A, MATCH($E216, Data!$B:$B, 0)), "")</f>
        <v/>
      </c>
      <c r="E216" s="9" t="str">
        <f>LARGE(Data!$B$2:$B1000,A216 )</f>
        <v>#NUM!</v>
      </c>
      <c r="F216" s="9" t="str">
        <f t="array" ref="F216">IFERROR(INDEX(Data!C:C, MATCH($E216, Data!$B:$B, 0)), "")</f>
        <v/>
      </c>
      <c r="G216" s="9" t="str">
        <f t="array" ref="G216">IFERROR(INDEX(Data!D:D, MATCH($E216, Data!$B:$B, 0)), "")</f>
        <v/>
      </c>
      <c r="H216" s="9" t="str">
        <f t="array" ref="H216">IFERROR(INDEX(Data!E:E, MATCH($E216, Data!$B:$B, 0)), "")</f>
        <v/>
      </c>
      <c r="I216" s="9" t="str">
        <f t="shared" si="1"/>
        <v/>
      </c>
      <c r="J216" s="9" t="str">
        <f t="shared" si="2"/>
        <v>#REF!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12">
        <v>215.0</v>
      </c>
      <c r="B217" s="13">
        <v>215.0</v>
      </c>
      <c r="C217" s="9" t="str">
        <f t="array" ref="C217">IFERROR(INDEX(Data!F:F, MATCH($E217, Data!$B:$B, 0)), "")</f>
        <v/>
      </c>
      <c r="D217" s="9" t="str">
        <f t="array" ref="D217">IFERROR(INDEX(Data!A:A, MATCH($E217, Data!$B:$B, 0)), "")</f>
        <v/>
      </c>
      <c r="E217" s="9" t="str">
        <f>LARGE(Data!$B$2:$B1000,A217 )</f>
        <v>#NUM!</v>
      </c>
      <c r="F217" s="9" t="str">
        <f t="array" ref="F217">IFERROR(INDEX(Data!C:C, MATCH($E217, Data!$B:$B, 0)), "")</f>
        <v/>
      </c>
      <c r="G217" s="9" t="str">
        <f t="array" ref="G217">IFERROR(INDEX(Data!D:D, MATCH($E217, Data!$B:$B, 0)), "")</f>
        <v/>
      </c>
      <c r="H217" s="9" t="str">
        <f t="array" ref="H217">IFERROR(INDEX(Data!E:E, MATCH($E217, Data!$B:$B, 0)), "")</f>
        <v/>
      </c>
      <c r="I217" s="9" t="str">
        <f t="shared" si="1"/>
        <v/>
      </c>
      <c r="J217" s="9" t="str">
        <f t="shared" si="2"/>
        <v>#REF!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12">
        <v>216.0</v>
      </c>
      <c r="B218" s="13">
        <v>216.0</v>
      </c>
      <c r="C218" s="9" t="str">
        <f t="array" ref="C218">IFERROR(INDEX(Data!F:F, MATCH($E218, Data!$B:$B, 0)), "")</f>
        <v/>
      </c>
      <c r="D218" s="9" t="str">
        <f t="array" ref="D218">IFERROR(INDEX(Data!A:A, MATCH($E218, Data!$B:$B, 0)), "")</f>
        <v/>
      </c>
      <c r="E218" s="9" t="str">
        <f>LARGE(Data!$B$2:$B1000,A218 )</f>
        <v>#NUM!</v>
      </c>
      <c r="F218" s="9" t="str">
        <f t="array" ref="F218">IFERROR(INDEX(Data!C:C, MATCH($E218, Data!$B:$B, 0)), "")</f>
        <v/>
      </c>
      <c r="G218" s="9" t="str">
        <f t="array" ref="G218">IFERROR(INDEX(Data!D:D, MATCH($E218, Data!$B:$B, 0)), "")</f>
        <v/>
      </c>
      <c r="H218" s="9" t="str">
        <f t="array" ref="H218">IFERROR(INDEX(Data!E:E, MATCH($E218, Data!$B:$B, 0)), "")</f>
        <v/>
      </c>
      <c r="I218" s="9" t="str">
        <f t="shared" si="1"/>
        <v/>
      </c>
      <c r="J218" s="9" t="str">
        <f t="shared" si="2"/>
        <v>#REF!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12">
        <v>217.0</v>
      </c>
      <c r="B219" s="13">
        <v>217.0</v>
      </c>
      <c r="C219" s="9" t="str">
        <f t="array" ref="C219">IFERROR(INDEX(Data!F:F, MATCH($E219, Data!$B:$B, 0)), "")</f>
        <v/>
      </c>
      <c r="D219" s="9" t="str">
        <f t="array" ref="D219">IFERROR(INDEX(Data!A:A, MATCH($E219, Data!$B:$B, 0)), "")</f>
        <v/>
      </c>
      <c r="E219" s="9" t="str">
        <f>LARGE(Data!$B$2:$B1000,A219 )</f>
        <v>#NUM!</v>
      </c>
      <c r="F219" s="9" t="str">
        <f t="array" ref="F219">IFERROR(INDEX(Data!C:C, MATCH($E219, Data!$B:$B, 0)), "")</f>
        <v/>
      </c>
      <c r="G219" s="9" t="str">
        <f t="array" ref="G219">IFERROR(INDEX(Data!D:D, MATCH($E219, Data!$B:$B, 0)), "")</f>
        <v/>
      </c>
      <c r="H219" s="9" t="str">
        <f t="array" ref="H219">IFERROR(INDEX(Data!E:E, MATCH($E219, Data!$B:$B, 0)), "")</f>
        <v/>
      </c>
      <c r="I219" s="9" t="str">
        <f t="shared" si="1"/>
        <v/>
      </c>
      <c r="J219" s="9" t="str">
        <f t="shared" si="2"/>
        <v>#REF!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12">
        <v>218.0</v>
      </c>
      <c r="B220" s="13">
        <v>218.0</v>
      </c>
      <c r="C220" s="9" t="str">
        <f t="array" ref="C220">IFERROR(INDEX(Data!F:F, MATCH($E220, Data!$B:$B, 0)), "")</f>
        <v/>
      </c>
      <c r="D220" s="9" t="str">
        <f t="array" ref="D220">IFERROR(INDEX(Data!A:A, MATCH($E220, Data!$B:$B, 0)), "")</f>
        <v/>
      </c>
      <c r="E220" s="9" t="str">
        <f>LARGE(Data!$B$2:$B1000,A220 )</f>
        <v>#NUM!</v>
      </c>
      <c r="F220" s="9" t="str">
        <f t="array" ref="F220">IFERROR(INDEX(Data!C:C, MATCH($E220, Data!$B:$B, 0)), "")</f>
        <v/>
      </c>
      <c r="G220" s="9" t="str">
        <f t="array" ref="G220">IFERROR(INDEX(Data!D:D, MATCH($E220, Data!$B:$B, 0)), "")</f>
        <v/>
      </c>
      <c r="H220" s="9" t="str">
        <f t="array" ref="H220">IFERROR(INDEX(Data!E:E, MATCH($E220, Data!$B:$B, 0)), "")</f>
        <v/>
      </c>
      <c r="I220" s="9" t="str">
        <f t="shared" si="1"/>
        <v/>
      </c>
      <c r="J220" s="9" t="str">
        <f t="shared" si="2"/>
        <v>#REF!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12">
        <v>219.0</v>
      </c>
      <c r="B221" s="13">
        <v>219.0</v>
      </c>
      <c r="C221" s="9" t="str">
        <f t="array" ref="C221">IFERROR(INDEX(Data!F:F, MATCH($E221, Data!$B:$B, 0)), "")</f>
        <v/>
      </c>
      <c r="D221" s="9" t="str">
        <f t="array" ref="D221">IFERROR(INDEX(Data!A:A, MATCH($E221, Data!$B:$B, 0)), "")</f>
        <v/>
      </c>
      <c r="E221" s="9" t="str">
        <f>LARGE(Data!$B$2:$B1000,A221 )</f>
        <v>#NUM!</v>
      </c>
      <c r="F221" s="9" t="str">
        <f t="array" ref="F221">IFERROR(INDEX(Data!C:C, MATCH($E221, Data!$B:$B, 0)), "")</f>
        <v/>
      </c>
      <c r="G221" s="9" t="str">
        <f t="array" ref="G221">IFERROR(INDEX(Data!D:D, MATCH($E221, Data!$B:$B, 0)), "")</f>
        <v/>
      </c>
      <c r="H221" s="9" t="str">
        <f t="array" ref="H221">IFERROR(INDEX(Data!E:E, MATCH($E221, Data!$B:$B, 0)), "")</f>
        <v/>
      </c>
      <c r="I221" s="9" t="str">
        <f t="shared" si="1"/>
        <v/>
      </c>
      <c r="J221" s="9" t="str">
        <f t="shared" si="2"/>
        <v>#REF!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12">
        <v>220.0</v>
      </c>
      <c r="B222" s="13">
        <v>220.0</v>
      </c>
      <c r="C222" s="9" t="str">
        <f t="array" ref="C222">IFERROR(INDEX(Data!F:F, MATCH($E222, Data!$B:$B, 0)), "")</f>
        <v/>
      </c>
      <c r="D222" s="9" t="str">
        <f t="array" ref="D222">IFERROR(INDEX(Data!A:A, MATCH($E222, Data!$B:$B, 0)), "")</f>
        <v/>
      </c>
      <c r="E222" s="9" t="str">
        <f>LARGE(Data!$B$2:$B1000,A222 )</f>
        <v>#NUM!</v>
      </c>
      <c r="F222" s="9" t="str">
        <f t="array" ref="F222">IFERROR(INDEX(Data!C:C, MATCH($E222, Data!$B:$B, 0)), "")</f>
        <v/>
      </c>
      <c r="G222" s="9" t="str">
        <f t="array" ref="G222">IFERROR(INDEX(Data!D:D, MATCH($E222, Data!$B:$B, 0)), "")</f>
        <v/>
      </c>
      <c r="H222" s="9" t="str">
        <f t="array" ref="H222">IFERROR(INDEX(Data!E:E, MATCH($E222, Data!$B:$B, 0)), "")</f>
        <v/>
      </c>
      <c r="I222" s="9" t="str">
        <f t="shared" si="1"/>
        <v/>
      </c>
      <c r="J222" s="9" t="str">
        <f t="shared" si="2"/>
        <v>#REF!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12">
        <v>221.0</v>
      </c>
      <c r="B223" s="13">
        <v>221.0</v>
      </c>
      <c r="C223" s="9" t="str">
        <f t="array" ref="C223">IFERROR(INDEX(Data!F:F, MATCH($E223, Data!$B:$B, 0)), "")</f>
        <v/>
      </c>
      <c r="D223" s="9" t="str">
        <f t="array" ref="D223">IFERROR(INDEX(Data!A:A, MATCH($E223, Data!$B:$B, 0)), "")</f>
        <v/>
      </c>
      <c r="E223" s="9" t="str">
        <f>LARGE(Data!$B$2:$B1000,A223 )</f>
        <v>#NUM!</v>
      </c>
      <c r="F223" s="9" t="str">
        <f t="array" ref="F223">IFERROR(INDEX(Data!C:C, MATCH($E223, Data!$B:$B, 0)), "")</f>
        <v/>
      </c>
      <c r="G223" s="9" t="str">
        <f t="array" ref="G223">IFERROR(INDEX(Data!D:D, MATCH($E223, Data!$B:$B, 0)), "")</f>
        <v/>
      </c>
      <c r="H223" s="9" t="str">
        <f t="array" ref="H223">IFERROR(INDEX(Data!E:E, MATCH($E223, Data!$B:$B, 0)), "")</f>
        <v/>
      </c>
      <c r="I223" s="9" t="str">
        <f t="shared" si="1"/>
        <v/>
      </c>
      <c r="J223" s="9" t="str">
        <f t="shared" si="2"/>
        <v>#REF!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12">
        <v>222.0</v>
      </c>
      <c r="B224" s="13">
        <v>222.0</v>
      </c>
      <c r="C224" s="9" t="str">
        <f t="array" ref="C224">IFERROR(INDEX(Data!F:F, MATCH($E224, Data!$B:$B, 0)), "")</f>
        <v/>
      </c>
      <c r="D224" s="9" t="str">
        <f t="array" ref="D224">IFERROR(INDEX(Data!A:A, MATCH($E224, Data!$B:$B, 0)), "")</f>
        <v/>
      </c>
      <c r="E224" s="9" t="str">
        <f>LARGE(Data!$B$2:$B1000,A224 )</f>
        <v>#NUM!</v>
      </c>
      <c r="F224" s="9" t="str">
        <f t="array" ref="F224">IFERROR(INDEX(Data!C:C, MATCH($E224, Data!$B:$B, 0)), "")</f>
        <v/>
      </c>
      <c r="G224" s="9" t="str">
        <f t="array" ref="G224">IFERROR(INDEX(Data!D:D, MATCH($E224, Data!$B:$B, 0)), "")</f>
        <v/>
      </c>
      <c r="H224" s="9" t="str">
        <f t="array" ref="H224">IFERROR(INDEX(Data!E:E, MATCH($E224, Data!$B:$B, 0)), "")</f>
        <v/>
      </c>
      <c r="I224" s="9" t="str">
        <f t="shared" si="1"/>
        <v/>
      </c>
      <c r="J224" s="9" t="str">
        <f t="shared" si="2"/>
        <v>#REF!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12">
        <v>223.0</v>
      </c>
      <c r="B225" s="13">
        <v>223.0</v>
      </c>
      <c r="C225" s="9" t="str">
        <f t="array" ref="C225">IFERROR(INDEX(Data!F:F, MATCH($E225, Data!$B:$B, 0)), "")</f>
        <v/>
      </c>
      <c r="D225" s="9" t="str">
        <f t="array" ref="D225">IFERROR(INDEX(Data!A:A, MATCH($E225, Data!$B:$B, 0)), "")</f>
        <v/>
      </c>
      <c r="E225" s="9" t="str">
        <f>LARGE(Data!$B$2:$B1000,A225 )</f>
        <v>#NUM!</v>
      </c>
      <c r="F225" s="9" t="str">
        <f t="array" ref="F225">IFERROR(INDEX(Data!C:C, MATCH($E225, Data!$B:$B, 0)), "")</f>
        <v/>
      </c>
      <c r="G225" s="9" t="str">
        <f t="array" ref="G225">IFERROR(INDEX(Data!D:D, MATCH($E225, Data!$B:$B, 0)), "")</f>
        <v/>
      </c>
      <c r="H225" s="9" t="str">
        <f t="array" ref="H225">IFERROR(INDEX(Data!E:E, MATCH($E225, Data!$B:$B, 0)), "")</f>
        <v/>
      </c>
      <c r="I225" s="9" t="str">
        <f t="shared" si="1"/>
        <v/>
      </c>
      <c r="J225" s="9" t="str">
        <f t="shared" si="2"/>
        <v>#REF!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12">
        <v>224.0</v>
      </c>
      <c r="B226" s="13">
        <v>224.0</v>
      </c>
      <c r="C226" s="9" t="str">
        <f t="array" ref="C226">IFERROR(INDEX(Data!F:F, MATCH($E226, Data!$B:$B, 0)), "")</f>
        <v/>
      </c>
      <c r="D226" s="9" t="str">
        <f t="array" ref="D226">IFERROR(INDEX(Data!A:A, MATCH($E226, Data!$B:$B, 0)), "")</f>
        <v/>
      </c>
      <c r="E226" s="9" t="str">
        <f>LARGE(Data!$B$2:$B1000,A226 )</f>
        <v>#NUM!</v>
      </c>
      <c r="F226" s="9" t="str">
        <f t="array" ref="F226">IFERROR(INDEX(Data!C:C, MATCH($E226, Data!$B:$B, 0)), "")</f>
        <v/>
      </c>
      <c r="G226" s="9" t="str">
        <f t="array" ref="G226">IFERROR(INDEX(Data!D:D, MATCH($E226, Data!$B:$B, 0)), "")</f>
        <v/>
      </c>
      <c r="H226" s="9" t="str">
        <f t="array" ref="H226">IFERROR(INDEX(Data!E:E, MATCH($E226, Data!$B:$B, 0)), "")</f>
        <v/>
      </c>
      <c r="I226" s="9" t="str">
        <f t="shared" si="1"/>
        <v/>
      </c>
      <c r="J226" s="9" t="str">
        <f t="shared" si="2"/>
        <v>#REF!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12">
        <v>225.0</v>
      </c>
      <c r="B227" s="13">
        <v>225.0</v>
      </c>
      <c r="C227" s="9" t="str">
        <f t="array" ref="C227">IFERROR(INDEX(Data!F:F, MATCH($E227, Data!$B:$B, 0)), "")</f>
        <v/>
      </c>
      <c r="D227" s="9" t="str">
        <f t="array" ref="D227">IFERROR(INDEX(Data!A:A, MATCH($E227, Data!$B:$B, 0)), "")</f>
        <v/>
      </c>
      <c r="E227" s="9" t="str">
        <f>LARGE(Data!$B$2:$B1000,A227 )</f>
        <v>#NUM!</v>
      </c>
      <c r="F227" s="9" t="str">
        <f t="array" ref="F227">IFERROR(INDEX(Data!C:C, MATCH($E227, Data!$B:$B, 0)), "")</f>
        <v/>
      </c>
      <c r="G227" s="9" t="str">
        <f t="array" ref="G227">IFERROR(INDEX(Data!D:D, MATCH($E227, Data!$B:$B, 0)), "")</f>
        <v/>
      </c>
      <c r="H227" s="9" t="str">
        <f t="array" ref="H227">IFERROR(INDEX(Data!E:E, MATCH($E227, Data!$B:$B, 0)), "")</f>
        <v/>
      </c>
      <c r="I227" s="9" t="str">
        <f t="shared" si="1"/>
        <v/>
      </c>
      <c r="J227" s="9" t="str">
        <f t="shared" si="2"/>
        <v>#REF!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12">
        <v>226.0</v>
      </c>
      <c r="B228" s="13">
        <v>226.0</v>
      </c>
      <c r="C228" s="9" t="str">
        <f t="array" ref="C228">IFERROR(INDEX(Data!F:F, MATCH($E228, Data!$B:$B, 0)), "")</f>
        <v/>
      </c>
      <c r="D228" s="9" t="str">
        <f t="array" ref="D228">IFERROR(INDEX(Data!A:A, MATCH($E228, Data!$B:$B, 0)), "")</f>
        <v/>
      </c>
      <c r="E228" s="9" t="str">
        <f>LARGE(Data!$B$2:$B1000,A228 )</f>
        <v>#NUM!</v>
      </c>
      <c r="F228" s="9" t="str">
        <f t="array" ref="F228">IFERROR(INDEX(Data!C:C, MATCH($E228, Data!$B:$B, 0)), "")</f>
        <v/>
      </c>
      <c r="G228" s="9" t="str">
        <f t="array" ref="G228">IFERROR(INDEX(Data!D:D, MATCH($E228, Data!$B:$B, 0)), "")</f>
        <v/>
      </c>
      <c r="H228" s="9" t="str">
        <f t="array" ref="H228">IFERROR(INDEX(Data!E:E, MATCH($E228, Data!$B:$B, 0)), "")</f>
        <v/>
      </c>
      <c r="I228" s="9" t="str">
        <f t="shared" si="1"/>
        <v/>
      </c>
      <c r="J228" s="9" t="str">
        <f t="shared" si="2"/>
        <v>#REF!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12">
        <v>227.0</v>
      </c>
      <c r="B229" s="13">
        <v>227.0</v>
      </c>
      <c r="C229" s="9" t="str">
        <f t="array" ref="C229">IFERROR(INDEX(Data!F:F, MATCH($E229, Data!$B:$B, 0)), "")</f>
        <v/>
      </c>
      <c r="D229" s="9" t="str">
        <f t="array" ref="D229">IFERROR(INDEX(Data!A:A, MATCH($E229, Data!$B:$B, 0)), "")</f>
        <v/>
      </c>
      <c r="E229" s="9" t="str">
        <f>LARGE(Data!$B$2:$B1000,A229 )</f>
        <v>#NUM!</v>
      </c>
      <c r="F229" s="9" t="str">
        <f t="array" ref="F229">IFERROR(INDEX(Data!C:C, MATCH($E229, Data!$B:$B, 0)), "")</f>
        <v/>
      </c>
      <c r="G229" s="9" t="str">
        <f t="array" ref="G229">IFERROR(INDEX(Data!D:D, MATCH($E229, Data!$B:$B, 0)), "")</f>
        <v/>
      </c>
      <c r="H229" s="9" t="str">
        <f t="array" ref="H229">IFERROR(INDEX(Data!E:E, MATCH($E229, Data!$B:$B, 0)), "")</f>
        <v/>
      </c>
      <c r="I229" s="9" t="str">
        <f t="shared" si="1"/>
        <v/>
      </c>
      <c r="J229" s="9" t="str">
        <f t="shared" si="2"/>
        <v>#REF!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12">
        <v>228.0</v>
      </c>
      <c r="B230" s="13">
        <v>228.0</v>
      </c>
      <c r="C230" s="9" t="str">
        <f t="array" ref="C230">IFERROR(INDEX(Data!F:F, MATCH($E230, Data!$B:$B, 0)), "")</f>
        <v/>
      </c>
      <c r="D230" s="9" t="str">
        <f t="array" ref="D230">IFERROR(INDEX(Data!A:A, MATCH($E230, Data!$B:$B, 0)), "")</f>
        <v/>
      </c>
      <c r="E230" s="9" t="str">
        <f>LARGE(Data!$B$2:$B1000,A230 )</f>
        <v>#NUM!</v>
      </c>
      <c r="F230" s="9" t="str">
        <f t="array" ref="F230">IFERROR(INDEX(Data!C:C, MATCH($E230, Data!$B:$B, 0)), "")</f>
        <v/>
      </c>
      <c r="G230" s="9" t="str">
        <f t="array" ref="G230">IFERROR(INDEX(Data!D:D, MATCH($E230, Data!$B:$B, 0)), "")</f>
        <v/>
      </c>
      <c r="H230" s="9" t="str">
        <f t="array" ref="H230">IFERROR(INDEX(Data!E:E, MATCH($E230, Data!$B:$B, 0)), "")</f>
        <v/>
      </c>
      <c r="I230" s="9" t="str">
        <f t="shared" si="1"/>
        <v/>
      </c>
      <c r="J230" s="9" t="str">
        <f t="shared" si="2"/>
        <v>#REF!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12">
        <v>229.0</v>
      </c>
      <c r="B231" s="13">
        <v>229.0</v>
      </c>
      <c r="C231" s="9" t="str">
        <f t="array" ref="C231">IFERROR(INDEX(Data!F:F, MATCH($E231, Data!$B:$B, 0)), "")</f>
        <v/>
      </c>
      <c r="D231" s="9" t="str">
        <f t="array" ref="D231">IFERROR(INDEX(Data!A:A, MATCH($E231, Data!$B:$B, 0)), "")</f>
        <v/>
      </c>
      <c r="E231" s="9" t="str">
        <f>LARGE(Data!$B$2:$B1000,A231 )</f>
        <v>#NUM!</v>
      </c>
      <c r="F231" s="9" t="str">
        <f t="array" ref="F231">IFERROR(INDEX(Data!C:C, MATCH($E231, Data!$B:$B, 0)), "")</f>
        <v/>
      </c>
      <c r="G231" s="9" t="str">
        <f t="array" ref="G231">IFERROR(INDEX(Data!D:D, MATCH($E231, Data!$B:$B, 0)), "")</f>
        <v/>
      </c>
      <c r="H231" s="9" t="str">
        <f t="array" ref="H231">IFERROR(INDEX(Data!E:E, MATCH($E231, Data!$B:$B, 0)), "")</f>
        <v/>
      </c>
      <c r="I231" s="9" t="str">
        <f t="shared" si="1"/>
        <v/>
      </c>
      <c r="J231" s="9" t="str">
        <f t="shared" si="2"/>
        <v>#REF!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12">
        <v>230.0</v>
      </c>
      <c r="B232" s="13">
        <v>230.0</v>
      </c>
      <c r="C232" s="9" t="str">
        <f t="array" ref="C232">IFERROR(INDEX(Data!F:F, MATCH($E232, Data!$B:$B, 0)), "")</f>
        <v/>
      </c>
      <c r="D232" s="9" t="str">
        <f t="array" ref="D232">IFERROR(INDEX(Data!A:A, MATCH($E232, Data!$B:$B, 0)), "")</f>
        <v/>
      </c>
      <c r="E232" s="9" t="str">
        <f>LARGE(Data!$B$2:$B1000,A232 )</f>
        <v>#NUM!</v>
      </c>
      <c r="F232" s="9" t="str">
        <f t="array" ref="F232">IFERROR(INDEX(Data!C:C, MATCH($E232, Data!$B:$B, 0)), "")</f>
        <v/>
      </c>
      <c r="G232" s="9" t="str">
        <f t="array" ref="G232">IFERROR(INDEX(Data!D:D, MATCH($E232, Data!$B:$B, 0)), "")</f>
        <v/>
      </c>
      <c r="H232" s="9" t="str">
        <f t="array" ref="H232">IFERROR(INDEX(Data!E:E, MATCH($E232, Data!$B:$B, 0)), "")</f>
        <v/>
      </c>
      <c r="I232" s="9" t="str">
        <f t="shared" si="1"/>
        <v/>
      </c>
      <c r="J232" s="9" t="str">
        <f t="shared" si="2"/>
        <v>#REF!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12">
        <v>231.0</v>
      </c>
      <c r="B233" s="13">
        <v>231.0</v>
      </c>
      <c r="C233" s="9" t="str">
        <f t="array" ref="C233">IFERROR(INDEX(Data!F:F, MATCH($E233, Data!$B:$B, 0)), "")</f>
        <v/>
      </c>
      <c r="D233" s="9" t="str">
        <f t="array" ref="D233">IFERROR(INDEX(Data!A:A, MATCH($E233, Data!$B:$B, 0)), "")</f>
        <v/>
      </c>
      <c r="E233" s="9" t="str">
        <f>LARGE(Data!$B$2:$B1000,A233 )</f>
        <v>#NUM!</v>
      </c>
      <c r="F233" s="9" t="str">
        <f t="array" ref="F233">IFERROR(INDEX(Data!C:C, MATCH($E233, Data!$B:$B, 0)), "")</f>
        <v/>
      </c>
      <c r="G233" s="9" t="str">
        <f t="array" ref="G233">IFERROR(INDEX(Data!D:D, MATCH($E233, Data!$B:$B, 0)), "")</f>
        <v/>
      </c>
      <c r="H233" s="9" t="str">
        <f t="array" ref="H233">IFERROR(INDEX(Data!E:E, MATCH($E233, Data!$B:$B, 0)), "")</f>
        <v/>
      </c>
      <c r="I233" s="9" t="str">
        <f t="shared" si="1"/>
        <v/>
      </c>
      <c r="J233" s="9" t="str">
        <f t="shared" si="2"/>
        <v>#REF!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12">
        <v>232.0</v>
      </c>
      <c r="B234" s="13">
        <v>232.0</v>
      </c>
      <c r="C234" s="9" t="str">
        <f t="array" ref="C234">IFERROR(INDEX(Data!F:F, MATCH($E234, Data!$B:$B, 0)), "")</f>
        <v/>
      </c>
      <c r="D234" s="9" t="str">
        <f t="array" ref="D234">IFERROR(INDEX(Data!A:A, MATCH($E234, Data!$B:$B, 0)), "")</f>
        <v/>
      </c>
      <c r="E234" s="9" t="str">
        <f>LARGE(Data!$B$2:$B1000,A234 )</f>
        <v>#NUM!</v>
      </c>
      <c r="F234" s="9" t="str">
        <f t="array" ref="F234">IFERROR(INDEX(Data!C:C, MATCH($E234, Data!$B:$B, 0)), "")</f>
        <v/>
      </c>
      <c r="G234" s="9" t="str">
        <f t="array" ref="G234">IFERROR(INDEX(Data!D:D, MATCH($E234, Data!$B:$B, 0)), "")</f>
        <v/>
      </c>
      <c r="H234" s="9" t="str">
        <f t="array" ref="H234">IFERROR(INDEX(Data!E:E, MATCH($E234, Data!$B:$B, 0)), "")</f>
        <v/>
      </c>
      <c r="I234" s="9" t="str">
        <f t="shared" si="1"/>
        <v/>
      </c>
      <c r="J234" s="9" t="str">
        <f t="shared" si="2"/>
        <v>#REF!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12">
        <v>233.0</v>
      </c>
      <c r="B235" s="13">
        <v>233.0</v>
      </c>
      <c r="C235" s="9" t="str">
        <f t="array" ref="C235">IFERROR(INDEX(Data!F:F, MATCH($E235, Data!$B:$B, 0)), "")</f>
        <v/>
      </c>
      <c r="D235" s="9" t="str">
        <f t="array" ref="D235">IFERROR(INDEX(Data!A:A, MATCH($E235, Data!$B:$B, 0)), "")</f>
        <v/>
      </c>
      <c r="E235" s="9" t="str">
        <f>LARGE(Data!$B$2:$B1000,A235 )</f>
        <v>#NUM!</v>
      </c>
      <c r="F235" s="9" t="str">
        <f t="array" ref="F235">IFERROR(INDEX(Data!C:C, MATCH($E235, Data!$B:$B, 0)), "")</f>
        <v/>
      </c>
      <c r="G235" s="9" t="str">
        <f t="array" ref="G235">IFERROR(INDEX(Data!D:D, MATCH($E235, Data!$B:$B, 0)), "")</f>
        <v/>
      </c>
      <c r="H235" s="9" t="str">
        <f t="array" ref="H235">IFERROR(INDEX(Data!E:E, MATCH($E235, Data!$B:$B, 0)), "")</f>
        <v/>
      </c>
      <c r="I235" s="9" t="str">
        <f t="shared" si="1"/>
        <v/>
      </c>
      <c r="J235" s="9" t="str">
        <f t="shared" si="2"/>
        <v>#REF!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12">
        <v>234.0</v>
      </c>
      <c r="B236" s="13">
        <v>234.0</v>
      </c>
      <c r="C236" s="9" t="str">
        <f t="array" ref="C236">IFERROR(INDEX(Data!F:F, MATCH($E236, Data!$B:$B, 0)), "")</f>
        <v/>
      </c>
      <c r="D236" s="9" t="str">
        <f t="array" ref="D236">IFERROR(INDEX(Data!A:A, MATCH($E236, Data!$B:$B, 0)), "")</f>
        <v/>
      </c>
      <c r="E236" s="9" t="str">
        <f>LARGE(Data!$B$2:$B1000,A236 )</f>
        <v>#NUM!</v>
      </c>
      <c r="F236" s="9" t="str">
        <f t="array" ref="F236">IFERROR(INDEX(Data!C:C, MATCH($E236, Data!$B:$B, 0)), "")</f>
        <v/>
      </c>
      <c r="G236" s="9" t="str">
        <f t="array" ref="G236">IFERROR(INDEX(Data!D:D, MATCH($E236, Data!$B:$B, 0)), "")</f>
        <v/>
      </c>
      <c r="H236" s="9" t="str">
        <f t="array" ref="H236">IFERROR(INDEX(Data!E:E, MATCH($E236, Data!$B:$B, 0)), "")</f>
        <v/>
      </c>
      <c r="I236" s="9" t="str">
        <f t="shared" si="1"/>
        <v/>
      </c>
      <c r="J236" s="9" t="str">
        <f t="shared" si="2"/>
        <v>#REF!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12">
        <v>235.0</v>
      </c>
      <c r="B237" s="13">
        <v>235.0</v>
      </c>
      <c r="C237" s="9" t="str">
        <f t="array" ref="C237">IFERROR(INDEX(Data!F:F, MATCH($E237, Data!$B:$B, 0)), "")</f>
        <v/>
      </c>
      <c r="D237" s="9" t="str">
        <f t="array" ref="D237">IFERROR(INDEX(Data!A:A, MATCH($E237, Data!$B:$B, 0)), "")</f>
        <v/>
      </c>
      <c r="E237" s="9" t="str">
        <f>LARGE(Data!$B$2:$B1000,A237 )</f>
        <v>#NUM!</v>
      </c>
      <c r="F237" s="9" t="str">
        <f t="array" ref="F237">IFERROR(INDEX(Data!C:C, MATCH($E237, Data!$B:$B, 0)), "")</f>
        <v/>
      </c>
      <c r="G237" s="9" t="str">
        <f t="array" ref="G237">IFERROR(INDEX(Data!D:D, MATCH($E237, Data!$B:$B, 0)), "")</f>
        <v/>
      </c>
      <c r="H237" s="9" t="str">
        <f t="array" ref="H237">IFERROR(INDEX(Data!E:E, MATCH($E237, Data!$B:$B, 0)), "")</f>
        <v/>
      </c>
      <c r="I237" s="9" t="str">
        <f t="shared" si="1"/>
        <v/>
      </c>
      <c r="J237" s="9" t="str">
        <f t="shared" si="2"/>
        <v>#REF!</v>
      </c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12">
        <v>236.0</v>
      </c>
      <c r="B238" s="13">
        <v>236.0</v>
      </c>
      <c r="C238" s="9" t="str">
        <f t="array" ref="C238">IFERROR(INDEX(Data!F:F, MATCH($E238, Data!$B:$B, 0)), "")</f>
        <v/>
      </c>
      <c r="D238" s="9" t="str">
        <f t="array" ref="D238">IFERROR(INDEX(Data!A:A, MATCH($E238, Data!$B:$B, 0)), "")</f>
        <v/>
      </c>
      <c r="E238" s="9" t="str">
        <f>LARGE(Data!$B$2:$B1000,A238 )</f>
        <v>#NUM!</v>
      </c>
      <c r="F238" s="9" t="str">
        <f t="array" ref="F238">IFERROR(INDEX(Data!C:C, MATCH($E238, Data!$B:$B, 0)), "")</f>
        <v/>
      </c>
      <c r="G238" s="9" t="str">
        <f t="array" ref="G238">IFERROR(INDEX(Data!D:D, MATCH($E238, Data!$B:$B, 0)), "")</f>
        <v/>
      </c>
      <c r="H238" s="9" t="str">
        <f t="array" ref="H238">IFERROR(INDEX(Data!E:E, MATCH($E238, Data!$B:$B, 0)), "")</f>
        <v/>
      </c>
      <c r="I238" s="9" t="str">
        <f t="shared" si="1"/>
        <v/>
      </c>
      <c r="J238" s="9" t="str">
        <f t="shared" si="2"/>
        <v>#REF!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12">
        <v>237.0</v>
      </c>
      <c r="B239" s="13">
        <v>237.0</v>
      </c>
      <c r="C239" s="9" t="str">
        <f t="array" ref="C239">IFERROR(INDEX(Data!F:F, MATCH($E239, Data!$B:$B, 0)), "")</f>
        <v/>
      </c>
      <c r="D239" s="9" t="str">
        <f t="array" ref="D239">IFERROR(INDEX(Data!A:A, MATCH($E239, Data!$B:$B, 0)), "")</f>
        <v/>
      </c>
      <c r="E239" s="9" t="str">
        <f>LARGE(Data!$B$2:$B1000,A239 )</f>
        <v>#NUM!</v>
      </c>
      <c r="F239" s="9" t="str">
        <f t="array" ref="F239">IFERROR(INDEX(Data!C:C, MATCH($E239, Data!$B:$B, 0)), "")</f>
        <v/>
      </c>
      <c r="G239" s="9" t="str">
        <f t="array" ref="G239">IFERROR(INDEX(Data!D:D, MATCH($E239, Data!$B:$B, 0)), "")</f>
        <v/>
      </c>
      <c r="H239" s="9" t="str">
        <f t="array" ref="H239">IFERROR(INDEX(Data!E:E, MATCH($E239, Data!$B:$B, 0)), "")</f>
        <v/>
      </c>
      <c r="I239" s="9" t="str">
        <f t="shared" si="1"/>
        <v/>
      </c>
      <c r="J239" s="9" t="str">
        <f t="shared" si="2"/>
        <v>#REF!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12">
        <v>238.0</v>
      </c>
      <c r="B240" s="13">
        <v>238.0</v>
      </c>
      <c r="C240" s="9" t="str">
        <f t="array" ref="C240">IFERROR(INDEX(Data!F:F, MATCH($E240, Data!$B:$B, 0)), "")</f>
        <v/>
      </c>
      <c r="D240" s="9" t="str">
        <f t="array" ref="D240">IFERROR(INDEX(Data!A:A, MATCH($E240, Data!$B:$B, 0)), "")</f>
        <v/>
      </c>
      <c r="E240" s="9" t="str">
        <f>LARGE(Data!$B$2:$B1000,A240 )</f>
        <v>#NUM!</v>
      </c>
      <c r="F240" s="9" t="str">
        <f t="array" ref="F240">IFERROR(INDEX(Data!C:C, MATCH($E240, Data!$B:$B, 0)), "")</f>
        <v/>
      </c>
      <c r="G240" s="9" t="str">
        <f t="array" ref="G240">IFERROR(INDEX(Data!D:D, MATCH($E240, Data!$B:$B, 0)), "")</f>
        <v/>
      </c>
      <c r="H240" s="9" t="str">
        <f t="array" ref="H240">IFERROR(INDEX(Data!E:E, MATCH($E240, Data!$B:$B, 0)), "")</f>
        <v/>
      </c>
      <c r="I240" s="9" t="str">
        <f t="shared" si="1"/>
        <v/>
      </c>
      <c r="J240" s="9" t="str">
        <f t="shared" si="2"/>
        <v>#REF!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12">
        <v>239.0</v>
      </c>
      <c r="B241" s="13">
        <v>239.0</v>
      </c>
      <c r="C241" s="9" t="str">
        <f t="array" ref="C241">IFERROR(INDEX(Data!F:F, MATCH($E241, Data!$B:$B, 0)), "")</f>
        <v/>
      </c>
      <c r="D241" s="9" t="str">
        <f t="array" ref="D241">IFERROR(INDEX(Data!A:A, MATCH($E241, Data!$B:$B, 0)), "")</f>
        <v/>
      </c>
      <c r="E241" s="9" t="str">
        <f>LARGE(Data!$B$2:$B1000,A241 )</f>
        <v>#NUM!</v>
      </c>
      <c r="F241" s="9" t="str">
        <f t="array" ref="F241">IFERROR(INDEX(Data!C:C, MATCH($E241, Data!$B:$B, 0)), "")</f>
        <v/>
      </c>
      <c r="G241" s="9" t="str">
        <f t="array" ref="G241">IFERROR(INDEX(Data!D:D, MATCH($E241, Data!$B:$B, 0)), "")</f>
        <v/>
      </c>
      <c r="H241" s="9" t="str">
        <f t="array" ref="H241">IFERROR(INDEX(Data!E:E, MATCH($E241, Data!$B:$B, 0)), "")</f>
        <v/>
      </c>
      <c r="I241" s="9" t="str">
        <f t="shared" si="1"/>
        <v/>
      </c>
      <c r="J241" s="9" t="str">
        <f t="shared" si="2"/>
        <v>#REF!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12">
        <v>240.0</v>
      </c>
      <c r="B242" s="13">
        <v>240.0</v>
      </c>
      <c r="C242" s="9" t="str">
        <f t="array" ref="C242">IFERROR(INDEX(Data!F:F, MATCH($E242, Data!$B:$B, 0)), "")</f>
        <v/>
      </c>
      <c r="D242" s="9" t="str">
        <f t="array" ref="D242">IFERROR(INDEX(Data!A:A, MATCH($E242, Data!$B:$B, 0)), "")</f>
        <v/>
      </c>
      <c r="E242" s="9" t="str">
        <f>LARGE(Data!$B$2:$B1000,A242 )</f>
        <v>#NUM!</v>
      </c>
      <c r="F242" s="9" t="str">
        <f t="array" ref="F242">IFERROR(INDEX(Data!C:C, MATCH($E242, Data!$B:$B, 0)), "")</f>
        <v/>
      </c>
      <c r="G242" s="9" t="str">
        <f t="array" ref="G242">IFERROR(INDEX(Data!D:D, MATCH($E242, Data!$B:$B, 0)), "")</f>
        <v/>
      </c>
      <c r="H242" s="9" t="str">
        <f t="array" ref="H242">IFERROR(INDEX(Data!E:E, MATCH($E242, Data!$B:$B, 0)), "")</f>
        <v/>
      </c>
      <c r="I242" s="9" t="str">
        <f t="shared" si="1"/>
        <v/>
      </c>
      <c r="J242" s="9" t="str">
        <f t="shared" si="2"/>
        <v>#REF!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12">
        <v>241.0</v>
      </c>
      <c r="B243" s="13">
        <v>241.0</v>
      </c>
      <c r="C243" s="9" t="str">
        <f t="array" ref="C243">IFERROR(INDEX(Data!F:F, MATCH($E243, Data!$B:$B, 0)), "")</f>
        <v/>
      </c>
      <c r="D243" s="9" t="str">
        <f t="array" ref="D243">IFERROR(INDEX(Data!A:A, MATCH($E243, Data!$B:$B, 0)), "")</f>
        <v/>
      </c>
      <c r="E243" s="9" t="str">
        <f>LARGE(Data!$B$2:$B1000,A243 )</f>
        <v>#NUM!</v>
      </c>
      <c r="F243" s="9" t="str">
        <f t="array" ref="F243">IFERROR(INDEX(Data!C:C, MATCH($E243, Data!$B:$B, 0)), "")</f>
        <v/>
      </c>
      <c r="G243" s="9" t="str">
        <f t="array" ref="G243">IFERROR(INDEX(Data!D:D, MATCH($E243, Data!$B:$B, 0)), "")</f>
        <v/>
      </c>
      <c r="H243" s="9" t="str">
        <f t="array" ref="H243">IFERROR(INDEX(Data!E:E, MATCH($E243, Data!$B:$B, 0)), "")</f>
        <v/>
      </c>
      <c r="I243" s="9" t="str">
        <f t="shared" si="1"/>
        <v/>
      </c>
      <c r="J243" s="9" t="str">
        <f t="shared" si="2"/>
        <v>#REF!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12">
        <v>242.0</v>
      </c>
      <c r="B244" s="13">
        <v>242.0</v>
      </c>
      <c r="C244" s="9" t="str">
        <f t="array" ref="C244">IFERROR(INDEX(Data!F:F, MATCH($E244, Data!$B:$B, 0)), "")</f>
        <v/>
      </c>
      <c r="D244" s="9" t="str">
        <f t="array" ref="D244">IFERROR(INDEX(Data!A:A, MATCH($E244, Data!$B:$B, 0)), "")</f>
        <v/>
      </c>
      <c r="E244" s="9" t="str">
        <f>LARGE(Data!$B$2:$B1000,A244 )</f>
        <v>#NUM!</v>
      </c>
      <c r="F244" s="9" t="str">
        <f t="array" ref="F244">IFERROR(INDEX(Data!C:C, MATCH($E244, Data!$B:$B, 0)), "")</f>
        <v/>
      </c>
      <c r="G244" s="9" t="str">
        <f t="array" ref="G244">IFERROR(INDEX(Data!D:D, MATCH($E244, Data!$B:$B, 0)), "")</f>
        <v/>
      </c>
      <c r="H244" s="9" t="str">
        <f t="array" ref="H244">IFERROR(INDEX(Data!E:E, MATCH($E244, Data!$B:$B, 0)), "")</f>
        <v/>
      </c>
      <c r="I244" s="9" t="str">
        <f t="shared" si="1"/>
        <v/>
      </c>
      <c r="J244" s="9" t="str">
        <f t="shared" si="2"/>
        <v>#REF!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12">
        <v>243.0</v>
      </c>
      <c r="B245" s="13">
        <v>243.0</v>
      </c>
      <c r="C245" s="9" t="str">
        <f t="array" ref="C245">IFERROR(INDEX(Data!F:F, MATCH($E245, Data!$B:$B, 0)), "")</f>
        <v/>
      </c>
      <c r="D245" s="9" t="str">
        <f t="array" ref="D245">IFERROR(INDEX(Data!A:A, MATCH($E245, Data!$B:$B, 0)), "")</f>
        <v/>
      </c>
      <c r="E245" s="9" t="str">
        <f>LARGE(Data!$B$2:$B1000,A245 )</f>
        <v>#NUM!</v>
      </c>
      <c r="F245" s="9" t="str">
        <f t="array" ref="F245">IFERROR(INDEX(Data!C:C, MATCH($E245, Data!$B:$B, 0)), "")</f>
        <v/>
      </c>
      <c r="G245" s="9" t="str">
        <f t="array" ref="G245">IFERROR(INDEX(Data!D:D, MATCH($E245, Data!$B:$B, 0)), "")</f>
        <v/>
      </c>
      <c r="H245" s="9" t="str">
        <f t="array" ref="H245">IFERROR(INDEX(Data!E:E, MATCH($E245, Data!$B:$B, 0)), "")</f>
        <v/>
      </c>
      <c r="I245" s="9" t="str">
        <f t="shared" si="1"/>
        <v/>
      </c>
      <c r="J245" s="9" t="str">
        <f t="shared" si="2"/>
        <v>#REF!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12">
        <v>244.0</v>
      </c>
      <c r="B246" s="13">
        <v>244.0</v>
      </c>
      <c r="C246" s="9" t="str">
        <f t="array" ref="C246">IFERROR(INDEX(Data!F:F, MATCH($E246, Data!$B:$B, 0)), "")</f>
        <v/>
      </c>
      <c r="D246" s="9" t="str">
        <f t="array" ref="D246">IFERROR(INDEX(Data!A:A, MATCH($E246, Data!$B:$B, 0)), "")</f>
        <v/>
      </c>
      <c r="E246" s="9" t="str">
        <f>LARGE(Data!$B$2:$B1000,A246 )</f>
        <v>#NUM!</v>
      </c>
      <c r="F246" s="9" t="str">
        <f t="array" ref="F246">IFERROR(INDEX(Data!C:C, MATCH($E246, Data!$B:$B, 0)), "")</f>
        <v/>
      </c>
      <c r="G246" s="9" t="str">
        <f t="array" ref="G246">IFERROR(INDEX(Data!D:D, MATCH($E246, Data!$B:$B, 0)), "")</f>
        <v/>
      </c>
      <c r="H246" s="9" t="str">
        <f t="array" ref="H246">IFERROR(INDEX(Data!E:E, MATCH($E246, Data!$B:$B, 0)), "")</f>
        <v/>
      </c>
      <c r="I246" s="9" t="str">
        <f t="shared" si="1"/>
        <v/>
      </c>
      <c r="J246" s="9" t="str">
        <f t="shared" si="2"/>
        <v>#REF!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12">
        <v>245.0</v>
      </c>
      <c r="B247" s="13">
        <v>245.0</v>
      </c>
      <c r="C247" s="9" t="str">
        <f t="array" ref="C247">IFERROR(INDEX(Data!F:F, MATCH($E247, Data!$B:$B, 0)), "")</f>
        <v/>
      </c>
      <c r="D247" s="9" t="str">
        <f t="array" ref="D247">IFERROR(INDEX(Data!A:A, MATCH($E247, Data!$B:$B, 0)), "")</f>
        <v/>
      </c>
      <c r="E247" s="9" t="str">
        <f>LARGE(Data!$B$2:$B1000,A247 )</f>
        <v>#NUM!</v>
      </c>
      <c r="F247" s="9" t="str">
        <f t="array" ref="F247">IFERROR(INDEX(Data!C:C, MATCH($E247, Data!$B:$B, 0)), "")</f>
        <v/>
      </c>
      <c r="G247" s="9" t="str">
        <f t="array" ref="G247">IFERROR(INDEX(Data!D:D, MATCH($E247, Data!$B:$B, 0)), "")</f>
        <v/>
      </c>
      <c r="H247" s="9" t="str">
        <f t="array" ref="H247">IFERROR(INDEX(Data!E:E, MATCH($E247, Data!$B:$B, 0)), "")</f>
        <v/>
      </c>
      <c r="I247" s="9" t="str">
        <f t="shared" si="1"/>
        <v/>
      </c>
      <c r="J247" s="9" t="str">
        <f t="shared" si="2"/>
        <v>#REF!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12">
        <v>246.0</v>
      </c>
      <c r="B248" s="13">
        <v>246.0</v>
      </c>
      <c r="C248" s="9" t="str">
        <f t="array" ref="C248">IFERROR(INDEX(Data!F:F, MATCH($E248, Data!$B:$B, 0)), "")</f>
        <v/>
      </c>
      <c r="D248" s="9" t="str">
        <f t="array" ref="D248">IFERROR(INDEX(Data!A:A, MATCH($E248, Data!$B:$B, 0)), "")</f>
        <v/>
      </c>
      <c r="E248" s="9" t="str">
        <f>LARGE(Data!$B$2:$B1000,A248 )</f>
        <v>#NUM!</v>
      </c>
      <c r="F248" s="9" t="str">
        <f t="array" ref="F248">IFERROR(INDEX(Data!C:C, MATCH($E248, Data!$B:$B, 0)), "")</f>
        <v/>
      </c>
      <c r="G248" s="9" t="str">
        <f t="array" ref="G248">IFERROR(INDEX(Data!D:D, MATCH($E248, Data!$B:$B, 0)), "")</f>
        <v/>
      </c>
      <c r="H248" s="9" t="str">
        <f t="array" ref="H248">IFERROR(INDEX(Data!E:E, MATCH($E248, Data!$B:$B, 0)), "")</f>
        <v/>
      </c>
      <c r="I248" s="9" t="str">
        <f t="shared" si="1"/>
        <v/>
      </c>
      <c r="J248" s="9" t="str">
        <f t="shared" si="2"/>
        <v>#REF!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12">
        <v>247.0</v>
      </c>
      <c r="B249" s="13">
        <v>247.0</v>
      </c>
      <c r="C249" s="9" t="str">
        <f t="array" ref="C249">IFERROR(INDEX(Data!F:F, MATCH($E249, Data!$B:$B, 0)), "")</f>
        <v/>
      </c>
      <c r="D249" s="9" t="str">
        <f t="array" ref="D249">IFERROR(INDEX(Data!A:A, MATCH($E249, Data!$B:$B, 0)), "")</f>
        <v/>
      </c>
      <c r="E249" s="9" t="str">
        <f>LARGE(Data!$B$2:$B1000,A249 )</f>
        <v>#NUM!</v>
      </c>
      <c r="F249" s="9" t="str">
        <f t="array" ref="F249">IFERROR(INDEX(Data!C:C, MATCH($E249, Data!$B:$B, 0)), "")</f>
        <v/>
      </c>
      <c r="G249" s="9" t="str">
        <f t="array" ref="G249">IFERROR(INDEX(Data!D:D, MATCH($E249, Data!$B:$B, 0)), "")</f>
        <v/>
      </c>
      <c r="H249" s="9" t="str">
        <f t="array" ref="H249">IFERROR(INDEX(Data!E:E, MATCH($E249, Data!$B:$B, 0)), "")</f>
        <v/>
      </c>
      <c r="I249" s="9" t="str">
        <f t="shared" si="1"/>
        <v/>
      </c>
      <c r="J249" s="9" t="str">
        <f t="shared" si="2"/>
        <v>#REF!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12">
        <v>248.0</v>
      </c>
      <c r="B250" s="13">
        <v>248.0</v>
      </c>
      <c r="C250" s="9" t="str">
        <f t="array" ref="C250">IFERROR(INDEX(Data!F:F, MATCH($E250, Data!$B:$B, 0)), "")</f>
        <v/>
      </c>
      <c r="D250" s="9" t="str">
        <f t="array" ref="D250">IFERROR(INDEX(Data!A:A, MATCH($E250, Data!$B:$B, 0)), "")</f>
        <v/>
      </c>
      <c r="E250" s="9" t="str">
        <f>LARGE(Data!$B$2:$B1000,A250 )</f>
        <v>#NUM!</v>
      </c>
      <c r="F250" s="9" t="str">
        <f t="array" ref="F250">IFERROR(INDEX(Data!C:C, MATCH($E250, Data!$B:$B, 0)), "")</f>
        <v/>
      </c>
      <c r="G250" s="9" t="str">
        <f t="array" ref="G250">IFERROR(INDEX(Data!D:D, MATCH($E250, Data!$B:$B, 0)), "")</f>
        <v/>
      </c>
      <c r="H250" s="9" t="str">
        <f t="array" ref="H250">IFERROR(INDEX(Data!E:E, MATCH($E250, Data!$B:$B, 0)), "")</f>
        <v/>
      </c>
      <c r="I250" s="9" t="str">
        <f t="shared" si="1"/>
        <v/>
      </c>
      <c r="J250" s="9" t="str">
        <f t="shared" si="2"/>
        <v>#REF!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12">
        <v>249.0</v>
      </c>
      <c r="B251" s="13">
        <v>249.0</v>
      </c>
      <c r="C251" s="9" t="str">
        <f t="array" ref="C251">IFERROR(INDEX(Data!F:F, MATCH($E251, Data!$B:$B, 0)), "")</f>
        <v/>
      </c>
      <c r="D251" s="9" t="str">
        <f t="array" ref="D251">IFERROR(INDEX(Data!A:A, MATCH($E251, Data!$B:$B, 0)), "")</f>
        <v/>
      </c>
      <c r="E251" s="9" t="str">
        <f>LARGE(Data!$B$2:$B1000,A251 )</f>
        <v>#NUM!</v>
      </c>
      <c r="F251" s="9" t="str">
        <f t="array" ref="F251">IFERROR(INDEX(Data!C:C, MATCH($E251, Data!$B:$B, 0)), "")</f>
        <v/>
      </c>
      <c r="G251" s="9" t="str">
        <f t="array" ref="G251">IFERROR(INDEX(Data!D:D, MATCH($E251, Data!$B:$B, 0)), "")</f>
        <v/>
      </c>
      <c r="H251" s="9" t="str">
        <f t="array" ref="H251">IFERROR(INDEX(Data!E:E, MATCH($E251, Data!$B:$B, 0)), "")</f>
        <v/>
      </c>
      <c r="I251" s="9" t="str">
        <f t="shared" si="1"/>
        <v/>
      </c>
      <c r="J251" s="9" t="str">
        <f t="shared" si="2"/>
        <v>#REF!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12">
        <v>250.0</v>
      </c>
      <c r="B252" s="13">
        <v>250.0</v>
      </c>
      <c r="C252" s="9" t="str">
        <f t="array" ref="C252">IFERROR(INDEX(Data!F:F, MATCH($E252, Data!$B:$B, 0)), "")</f>
        <v/>
      </c>
      <c r="D252" s="9" t="str">
        <f t="array" ref="D252">IFERROR(INDEX(Data!A:A, MATCH($E252, Data!$B:$B, 0)), "")</f>
        <v/>
      </c>
      <c r="E252" s="9" t="str">
        <f>LARGE(Data!$B$2:$B1000,A252 )</f>
        <v>#NUM!</v>
      </c>
      <c r="F252" s="9" t="str">
        <f t="array" ref="F252">IFERROR(INDEX(Data!C:C, MATCH($E252, Data!$B:$B, 0)), "")</f>
        <v/>
      </c>
      <c r="G252" s="9" t="str">
        <f t="array" ref="G252">IFERROR(INDEX(Data!D:D, MATCH($E252, Data!$B:$B, 0)), "")</f>
        <v/>
      </c>
      <c r="H252" s="9" t="str">
        <f t="array" ref="H252">IFERROR(INDEX(Data!E:E, MATCH($E252, Data!$B:$B, 0)), "")</f>
        <v/>
      </c>
      <c r="I252" s="9" t="str">
        <f t="shared" si="1"/>
        <v/>
      </c>
      <c r="J252" s="9" t="str">
        <f t="shared" si="2"/>
        <v>#REF!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12">
        <v>251.0</v>
      </c>
      <c r="B253" s="13">
        <v>251.0</v>
      </c>
      <c r="C253" s="9" t="str">
        <f t="array" ref="C253">IFERROR(INDEX(Data!F:F, MATCH($E253, Data!$B:$B, 0)), "")</f>
        <v/>
      </c>
      <c r="D253" s="9" t="str">
        <f t="array" ref="D253">IFERROR(INDEX(Data!A:A, MATCH($E253, Data!$B:$B, 0)), "")</f>
        <v/>
      </c>
      <c r="E253" s="9" t="str">
        <f>LARGE(Data!$B$2:$B1000,A253 )</f>
        <v>#NUM!</v>
      </c>
      <c r="F253" s="9" t="str">
        <f t="array" ref="F253">IFERROR(INDEX(Data!C:C, MATCH($E253, Data!$B:$B, 0)), "")</f>
        <v/>
      </c>
      <c r="G253" s="9" t="str">
        <f t="array" ref="G253">IFERROR(INDEX(Data!D:D, MATCH($E253, Data!$B:$B, 0)), "")</f>
        <v/>
      </c>
      <c r="H253" s="9" t="str">
        <f t="array" ref="H253">IFERROR(INDEX(Data!E:E, MATCH($E253, Data!$B:$B, 0)), "")</f>
        <v/>
      </c>
      <c r="I253" s="9" t="str">
        <f t="shared" si="1"/>
        <v/>
      </c>
      <c r="J253" s="9" t="str">
        <f t="shared" si="2"/>
        <v>#REF!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12">
        <v>252.0</v>
      </c>
      <c r="B254" s="13">
        <v>252.0</v>
      </c>
      <c r="C254" s="9" t="str">
        <f t="array" ref="C254">IFERROR(INDEX(Data!F:F, MATCH($E254, Data!$B:$B, 0)), "")</f>
        <v/>
      </c>
      <c r="D254" s="9" t="str">
        <f t="array" ref="D254">IFERROR(INDEX(Data!A:A, MATCH($E254, Data!$B:$B, 0)), "")</f>
        <v/>
      </c>
      <c r="E254" s="9" t="str">
        <f>LARGE(Data!$B$2:$B1000,A254 )</f>
        <v>#NUM!</v>
      </c>
      <c r="F254" s="9" t="str">
        <f t="array" ref="F254">IFERROR(INDEX(Data!C:C, MATCH($E254, Data!$B:$B, 0)), "")</f>
        <v/>
      </c>
      <c r="G254" s="9" t="str">
        <f t="array" ref="G254">IFERROR(INDEX(Data!D:D, MATCH($E254, Data!$B:$B, 0)), "")</f>
        <v/>
      </c>
      <c r="H254" s="9" t="str">
        <f t="array" ref="H254">IFERROR(INDEX(Data!E:E, MATCH($E254, Data!$B:$B, 0)), "")</f>
        <v/>
      </c>
      <c r="I254" s="9" t="str">
        <f t="shared" si="1"/>
        <v/>
      </c>
      <c r="J254" s="9" t="str">
        <f t="shared" si="2"/>
        <v>#REF!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12">
        <v>253.0</v>
      </c>
      <c r="B255" s="13">
        <v>253.0</v>
      </c>
      <c r="C255" s="9" t="str">
        <f t="array" ref="C255">IFERROR(INDEX(Data!F:F, MATCH($E255, Data!$B:$B, 0)), "")</f>
        <v/>
      </c>
      <c r="D255" s="9" t="str">
        <f t="array" ref="D255">IFERROR(INDEX(Data!A:A, MATCH($E255, Data!$B:$B, 0)), "")</f>
        <v/>
      </c>
      <c r="E255" s="9" t="str">
        <f>LARGE(Data!$B$2:$B1000,A255 )</f>
        <v>#NUM!</v>
      </c>
      <c r="F255" s="9" t="str">
        <f t="array" ref="F255">IFERROR(INDEX(Data!C:C, MATCH($E255, Data!$B:$B, 0)), "")</f>
        <v/>
      </c>
      <c r="G255" s="9" t="str">
        <f t="array" ref="G255">IFERROR(INDEX(Data!D:D, MATCH($E255, Data!$B:$B, 0)), "")</f>
        <v/>
      </c>
      <c r="H255" s="9" t="str">
        <f t="array" ref="H255">IFERROR(INDEX(Data!E:E, MATCH($E255, Data!$B:$B, 0)), "")</f>
        <v/>
      </c>
      <c r="I255" s="9" t="str">
        <f t="shared" si="1"/>
        <v/>
      </c>
      <c r="J255" s="9" t="str">
        <f t="shared" si="2"/>
        <v>#REF!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12">
        <v>254.0</v>
      </c>
      <c r="B256" s="13">
        <v>254.0</v>
      </c>
      <c r="C256" s="9" t="str">
        <f t="array" ref="C256">IFERROR(INDEX(Data!F:F, MATCH($E256, Data!$B:$B, 0)), "")</f>
        <v/>
      </c>
      <c r="D256" s="9" t="str">
        <f t="array" ref="D256">IFERROR(INDEX(Data!A:A, MATCH($E256, Data!$B:$B, 0)), "")</f>
        <v/>
      </c>
      <c r="E256" s="9" t="str">
        <f>LARGE(Data!$B$2:$B1000,A256 )</f>
        <v>#NUM!</v>
      </c>
      <c r="F256" s="9" t="str">
        <f t="array" ref="F256">IFERROR(INDEX(Data!C:C, MATCH($E256, Data!$B:$B, 0)), "")</f>
        <v/>
      </c>
      <c r="G256" s="9" t="str">
        <f t="array" ref="G256">IFERROR(INDEX(Data!D:D, MATCH($E256, Data!$B:$B, 0)), "")</f>
        <v/>
      </c>
      <c r="H256" s="9" t="str">
        <f t="array" ref="H256">IFERROR(INDEX(Data!E:E, MATCH($E256, Data!$B:$B, 0)), "")</f>
        <v/>
      </c>
      <c r="I256" s="9" t="str">
        <f t="shared" si="1"/>
        <v/>
      </c>
      <c r="J256" s="9" t="str">
        <f t="shared" si="2"/>
        <v>#REF!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12">
        <v>255.0</v>
      </c>
      <c r="B257" s="13">
        <v>255.0</v>
      </c>
      <c r="C257" s="9" t="str">
        <f t="array" ref="C257">IFERROR(INDEX(Data!F:F, MATCH($E257, Data!$B:$B, 0)), "")</f>
        <v/>
      </c>
      <c r="D257" s="9" t="str">
        <f t="array" ref="D257">IFERROR(INDEX(Data!A:A, MATCH($E257, Data!$B:$B, 0)), "")</f>
        <v/>
      </c>
      <c r="E257" s="9" t="str">
        <f>LARGE(Data!$B$2:$B1000,A257 )</f>
        <v>#NUM!</v>
      </c>
      <c r="F257" s="9" t="str">
        <f t="array" ref="F257">IFERROR(INDEX(Data!C:C, MATCH($E257, Data!$B:$B, 0)), "")</f>
        <v/>
      </c>
      <c r="G257" s="9" t="str">
        <f t="array" ref="G257">IFERROR(INDEX(Data!D:D, MATCH($E257, Data!$B:$B, 0)), "")</f>
        <v/>
      </c>
      <c r="H257" s="9" t="str">
        <f t="array" ref="H257">IFERROR(INDEX(Data!E:E, MATCH($E257, Data!$B:$B, 0)), "")</f>
        <v/>
      </c>
      <c r="I257" s="9" t="str">
        <f t="shared" si="1"/>
        <v/>
      </c>
      <c r="J257" s="9" t="str">
        <f t="shared" si="2"/>
        <v>#REF!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12">
        <v>256.0</v>
      </c>
      <c r="B258" s="13">
        <v>256.0</v>
      </c>
      <c r="C258" s="9" t="str">
        <f t="array" ref="C258">IFERROR(INDEX(Data!F:F, MATCH($E258, Data!$B:$B, 0)), "")</f>
        <v/>
      </c>
      <c r="D258" s="9" t="str">
        <f t="array" ref="D258">IFERROR(INDEX(Data!A:A, MATCH($E258, Data!$B:$B, 0)), "")</f>
        <v/>
      </c>
      <c r="E258" s="9" t="str">
        <f>LARGE(Data!$B$2:$B1000,A258 )</f>
        <v>#NUM!</v>
      </c>
      <c r="F258" s="9" t="str">
        <f t="array" ref="F258">IFERROR(INDEX(Data!C:C, MATCH($E258, Data!$B:$B, 0)), "")</f>
        <v/>
      </c>
      <c r="G258" s="9" t="str">
        <f t="array" ref="G258">IFERROR(INDEX(Data!D:D, MATCH($E258, Data!$B:$B, 0)), "")</f>
        <v/>
      </c>
      <c r="H258" s="9" t="str">
        <f t="array" ref="H258">IFERROR(INDEX(Data!E:E, MATCH($E258, Data!$B:$B, 0)), "")</f>
        <v/>
      </c>
      <c r="I258" s="9" t="str">
        <f t="shared" si="1"/>
        <v/>
      </c>
      <c r="J258" s="9" t="str">
        <f t="shared" si="2"/>
        <v>#REF!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12">
        <v>257.0</v>
      </c>
      <c r="B259" s="13">
        <v>257.0</v>
      </c>
      <c r="C259" s="9" t="str">
        <f t="array" ref="C259">IFERROR(INDEX(Data!F:F, MATCH($E259, Data!$B:$B, 0)), "")</f>
        <v/>
      </c>
      <c r="D259" s="9" t="str">
        <f t="array" ref="D259">IFERROR(INDEX(Data!A:A, MATCH($E259, Data!$B:$B, 0)), "")</f>
        <v/>
      </c>
      <c r="E259" s="9" t="str">
        <f>LARGE(Data!$B$2:$B1000,A259 )</f>
        <v>#NUM!</v>
      </c>
      <c r="F259" s="9" t="str">
        <f t="array" ref="F259">IFERROR(INDEX(Data!C:C, MATCH($E259, Data!$B:$B, 0)), "")</f>
        <v/>
      </c>
      <c r="G259" s="9" t="str">
        <f t="array" ref="G259">IFERROR(INDEX(Data!D:D, MATCH($E259, Data!$B:$B, 0)), "")</f>
        <v/>
      </c>
      <c r="H259" s="9" t="str">
        <f t="array" ref="H259">IFERROR(INDEX(Data!E:E, MATCH($E259, Data!$B:$B, 0)), "")</f>
        <v/>
      </c>
      <c r="I259" s="9" t="str">
        <f t="shared" si="1"/>
        <v/>
      </c>
      <c r="J259" s="9" t="str">
        <f t="shared" si="2"/>
        <v>#REF!</v>
      </c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12">
        <v>258.0</v>
      </c>
      <c r="B260" s="13">
        <v>258.0</v>
      </c>
      <c r="C260" s="9" t="str">
        <f t="array" ref="C260">IFERROR(INDEX(Data!F:F, MATCH($E260, Data!$B:$B, 0)), "")</f>
        <v/>
      </c>
      <c r="D260" s="9" t="str">
        <f t="array" ref="D260">IFERROR(INDEX(Data!A:A, MATCH($E260, Data!$B:$B, 0)), "")</f>
        <v/>
      </c>
      <c r="E260" s="9" t="str">
        <f>LARGE(Data!$B$2:$B1000,A260 )</f>
        <v>#NUM!</v>
      </c>
      <c r="F260" s="9" t="str">
        <f t="array" ref="F260">IFERROR(INDEX(Data!C:C, MATCH($E260, Data!$B:$B, 0)), "")</f>
        <v/>
      </c>
      <c r="G260" s="9" t="str">
        <f t="array" ref="G260">IFERROR(INDEX(Data!D:D, MATCH($E260, Data!$B:$B, 0)), "")</f>
        <v/>
      </c>
      <c r="H260" s="9" t="str">
        <f t="array" ref="H260">IFERROR(INDEX(Data!E:E, MATCH($E260, Data!$B:$B, 0)), "")</f>
        <v/>
      </c>
      <c r="I260" s="9" t="str">
        <f t="shared" si="1"/>
        <v/>
      </c>
      <c r="J260" s="9" t="str">
        <f t="shared" si="2"/>
        <v>#REF!</v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12">
        <v>259.0</v>
      </c>
      <c r="B261" s="13">
        <v>259.0</v>
      </c>
      <c r="C261" s="9" t="str">
        <f t="array" ref="C261">IFERROR(INDEX(Data!F:F, MATCH($E261, Data!$B:$B, 0)), "")</f>
        <v/>
      </c>
      <c r="D261" s="9" t="str">
        <f t="array" ref="D261">IFERROR(INDEX(Data!A:A, MATCH($E261, Data!$B:$B, 0)), "")</f>
        <v/>
      </c>
      <c r="E261" s="9" t="str">
        <f>LARGE(Data!$B$2:$B1000,A261 )</f>
        <v>#NUM!</v>
      </c>
      <c r="F261" s="9" t="str">
        <f t="array" ref="F261">IFERROR(INDEX(Data!C:C, MATCH($E261, Data!$B:$B, 0)), "")</f>
        <v/>
      </c>
      <c r="G261" s="9" t="str">
        <f t="array" ref="G261">IFERROR(INDEX(Data!D:D, MATCH($E261, Data!$B:$B, 0)), "")</f>
        <v/>
      </c>
      <c r="H261" s="9" t="str">
        <f t="array" ref="H261">IFERROR(INDEX(Data!E:E, MATCH($E261, Data!$B:$B, 0)), "")</f>
        <v/>
      </c>
      <c r="I261" s="9" t="str">
        <f t="shared" si="1"/>
        <v/>
      </c>
      <c r="J261" s="9" t="str">
        <f t="shared" si="2"/>
        <v>#REF!</v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12">
        <v>260.0</v>
      </c>
      <c r="B262" s="13">
        <v>260.0</v>
      </c>
      <c r="C262" s="9" t="str">
        <f t="array" ref="C262">IFERROR(INDEX(Data!F:F, MATCH($E262, Data!$B:$B, 0)), "")</f>
        <v/>
      </c>
      <c r="D262" s="9" t="str">
        <f t="array" ref="D262">IFERROR(INDEX(Data!A:A, MATCH($E262, Data!$B:$B, 0)), "")</f>
        <v/>
      </c>
      <c r="E262" s="9" t="str">
        <f>LARGE(Data!$B$2:$B1000,A262 )</f>
        <v>#NUM!</v>
      </c>
      <c r="F262" s="9" t="str">
        <f t="array" ref="F262">IFERROR(INDEX(Data!C:C, MATCH($E262, Data!$B:$B, 0)), "")</f>
        <v/>
      </c>
      <c r="G262" s="9" t="str">
        <f t="array" ref="G262">IFERROR(INDEX(Data!D:D, MATCH($E262, Data!$B:$B, 0)), "")</f>
        <v/>
      </c>
      <c r="H262" s="9" t="str">
        <f t="array" ref="H262">IFERROR(INDEX(Data!E:E, MATCH($E262, Data!$B:$B, 0)), "")</f>
        <v/>
      </c>
      <c r="I262" s="9" t="str">
        <f t="shared" si="1"/>
        <v/>
      </c>
      <c r="J262" s="9" t="str">
        <f t="shared" si="2"/>
        <v>#REF!</v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12">
        <v>261.0</v>
      </c>
      <c r="B263" s="13">
        <v>261.0</v>
      </c>
      <c r="C263" s="9" t="str">
        <f t="array" ref="C263">IFERROR(INDEX(Data!F:F, MATCH($E263, Data!$B:$B, 0)), "")</f>
        <v/>
      </c>
      <c r="D263" s="9" t="str">
        <f t="array" ref="D263">IFERROR(INDEX(Data!A:A, MATCH($E263, Data!$B:$B, 0)), "")</f>
        <v/>
      </c>
      <c r="E263" s="9" t="str">
        <f>LARGE(Data!$B$2:$B1000,A263 )</f>
        <v>#NUM!</v>
      </c>
      <c r="F263" s="9" t="str">
        <f t="array" ref="F263">IFERROR(INDEX(Data!C:C, MATCH($E263, Data!$B:$B, 0)), "")</f>
        <v/>
      </c>
      <c r="G263" s="9" t="str">
        <f t="array" ref="G263">IFERROR(INDEX(Data!D:D, MATCH($E263, Data!$B:$B, 0)), "")</f>
        <v/>
      </c>
      <c r="H263" s="9" t="str">
        <f t="array" ref="H263">IFERROR(INDEX(Data!E:E, MATCH($E263, Data!$B:$B, 0)), "")</f>
        <v/>
      </c>
      <c r="I263" s="9" t="str">
        <f t="shared" si="1"/>
        <v/>
      </c>
      <c r="J263" s="9" t="str">
        <f t="shared" si="2"/>
        <v>#REF!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12">
        <v>262.0</v>
      </c>
      <c r="B264" s="13">
        <v>262.0</v>
      </c>
      <c r="C264" s="9" t="str">
        <f t="array" ref="C264">IFERROR(INDEX(Data!F:F, MATCH($E264, Data!$B:$B, 0)), "")</f>
        <v/>
      </c>
      <c r="D264" s="9" t="str">
        <f t="array" ref="D264">IFERROR(INDEX(Data!A:A, MATCH($E264, Data!$B:$B, 0)), "")</f>
        <v/>
      </c>
      <c r="E264" s="9" t="str">
        <f>LARGE(Data!$B$2:$B1000,A264 )</f>
        <v>#NUM!</v>
      </c>
      <c r="F264" s="9" t="str">
        <f t="array" ref="F264">IFERROR(INDEX(Data!C:C, MATCH($E264, Data!$B:$B, 0)), "")</f>
        <v/>
      </c>
      <c r="G264" s="9" t="str">
        <f t="array" ref="G264">IFERROR(INDEX(Data!D:D, MATCH($E264, Data!$B:$B, 0)), "")</f>
        <v/>
      </c>
      <c r="H264" s="9" t="str">
        <f t="array" ref="H264">IFERROR(INDEX(Data!E:E, MATCH($E264, Data!$B:$B, 0)), "")</f>
        <v/>
      </c>
      <c r="I264" s="9" t="str">
        <f t="shared" si="1"/>
        <v/>
      </c>
      <c r="J264" s="9" t="str">
        <f t="shared" si="2"/>
        <v>#REF!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12">
        <v>263.0</v>
      </c>
      <c r="B265" s="13">
        <v>263.0</v>
      </c>
      <c r="C265" s="9" t="str">
        <f t="array" ref="C265">IFERROR(INDEX(Data!F:F, MATCH($E265, Data!$B:$B, 0)), "")</f>
        <v/>
      </c>
      <c r="D265" s="9" t="str">
        <f t="array" ref="D265">IFERROR(INDEX(Data!A:A, MATCH($E265, Data!$B:$B, 0)), "")</f>
        <v/>
      </c>
      <c r="E265" s="9" t="str">
        <f>LARGE(Data!$B$2:$B1000,A265 )</f>
        <v>#NUM!</v>
      </c>
      <c r="F265" s="9" t="str">
        <f t="array" ref="F265">IFERROR(INDEX(Data!C:C, MATCH($E265, Data!$B:$B, 0)), "")</f>
        <v/>
      </c>
      <c r="G265" s="9" t="str">
        <f t="array" ref="G265">IFERROR(INDEX(Data!D:D, MATCH($E265, Data!$B:$B, 0)), "")</f>
        <v/>
      </c>
      <c r="H265" s="9" t="str">
        <f t="array" ref="H265">IFERROR(INDEX(Data!E:E, MATCH($E265, Data!$B:$B, 0)), "")</f>
        <v/>
      </c>
      <c r="I265" s="9" t="str">
        <f t="shared" si="1"/>
        <v/>
      </c>
      <c r="J265" s="9" t="str">
        <f t="shared" si="2"/>
        <v>#REF!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12">
        <v>264.0</v>
      </c>
      <c r="B266" s="13">
        <v>264.0</v>
      </c>
      <c r="C266" s="9" t="str">
        <f t="array" ref="C266">IFERROR(INDEX(Data!F:F, MATCH($E266, Data!$B:$B, 0)), "")</f>
        <v/>
      </c>
      <c r="D266" s="9" t="str">
        <f t="array" ref="D266">IFERROR(INDEX(Data!A:A, MATCH($E266, Data!$B:$B, 0)), "")</f>
        <v/>
      </c>
      <c r="E266" s="9" t="str">
        <f>LARGE(Data!$B$2:$B1000,A266 )</f>
        <v>#NUM!</v>
      </c>
      <c r="F266" s="9" t="str">
        <f t="array" ref="F266">IFERROR(INDEX(Data!C:C, MATCH($E266, Data!$B:$B, 0)), "")</f>
        <v/>
      </c>
      <c r="G266" s="9" t="str">
        <f t="array" ref="G266">IFERROR(INDEX(Data!D:D, MATCH($E266, Data!$B:$B, 0)), "")</f>
        <v/>
      </c>
      <c r="H266" s="9" t="str">
        <f t="array" ref="H266">IFERROR(INDEX(Data!E:E, MATCH($E266, Data!$B:$B, 0)), "")</f>
        <v/>
      </c>
      <c r="I266" s="9" t="str">
        <f t="shared" si="1"/>
        <v/>
      </c>
      <c r="J266" s="9" t="str">
        <f t="shared" si="2"/>
        <v>#REF!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12">
        <v>265.0</v>
      </c>
      <c r="B267" s="13">
        <v>265.0</v>
      </c>
      <c r="C267" s="9" t="str">
        <f t="array" ref="C267">IFERROR(INDEX(Data!F:F, MATCH($E267, Data!$B:$B, 0)), "")</f>
        <v/>
      </c>
      <c r="D267" s="9" t="str">
        <f t="array" ref="D267">IFERROR(INDEX(Data!A:A, MATCH($E267, Data!$B:$B, 0)), "")</f>
        <v/>
      </c>
      <c r="E267" s="9" t="str">
        <f>LARGE(Data!$B$2:$B1000,A267 )</f>
        <v>#NUM!</v>
      </c>
      <c r="F267" s="9" t="str">
        <f t="array" ref="F267">IFERROR(INDEX(Data!C:C, MATCH($E267, Data!$B:$B, 0)), "")</f>
        <v/>
      </c>
      <c r="G267" s="9" t="str">
        <f t="array" ref="G267">IFERROR(INDEX(Data!D:D, MATCH($E267, Data!$B:$B, 0)), "")</f>
        <v/>
      </c>
      <c r="H267" s="9" t="str">
        <f t="array" ref="H267">IFERROR(INDEX(Data!E:E, MATCH($E267, Data!$B:$B, 0)), "")</f>
        <v/>
      </c>
      <c r="I267" s="9" t="str">
        <f t="shared" si="1"/>
        <v/>
      </c>
      <c r="J267" s="9" t="str">
        <f t="shared" si="2"/>
        <v>#REF!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12">
        <v>266.0</v>
      </c>
      <c r="B268" s="13">
        <v>266.0</v>
      </c>
      <c r="C268" s="9" t="str">
        <f t="array" ref="C268">IFERROR(INDEX(Data!F:F, MATCH($E268, Data!$B:$B, 0)), "")</f>
        <v/>
      </c>
      <c r="D268" s="9" t="str">
        <f t="array" ref="D268">IFERROR(INDEX(Data!A:A, MATCH($E268, Data!$B:$B, 0)), "")</f>
        <v/>
      </c>
      <c r="E268" s="9" t="str">
        <f>LARGE(Data!$B$2:$B1000,A268 )</f>
        <v>#NUM!</v>
      </c>
      <c r="F268" s="9" t="str">
        <f t="array" ref="F268">IFERROR(INDEX(Data!C:C, MATCH($E268, Data!$B:$B, 0)), "")</f>
        <v/>
      </c>
      <c r="G268" s="9" t="str">
        <f t="array" ref="G268">IFERROR(INDEX(Data!D:D, MATCH($E268, Data!$B:$B, 0)), "")</f>
        <v/>
      </c>
      <c r="H268" s="9" t="str">
        <f t="array" ref="H268">IFERROR(INDEX(Data!E:E, MATCH($E268, Data!$B:$B, 0)), "")</f>
        <v/>
      </c>
      <c r="I268" s="9" t="str">
        <f t="shared" si="1"/>
        <v/>
      </c>
      <c r="J268" s="9" t="str">
        <f t="shared" si="2"/>
        <v>#REF!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12">
        <v>267.0</v>
      </c>
      <c r="B269" s="13">
        <v>267.0</v>
      </c>
      <c r="C269" s="9" t="str">
        <f t="array" ref="C269">IFERROR(INDEX(Data!F:F, MATCH($E269, Data!$B:$B, 0)), "")</f>
        <v/>
      </c>
      <c r="D269" s="9" t="str">
        <f t="array" ref="D269">IFERROR(INDEX(Data!A:A, MATCH($E269, Data!$B:$B, 0)), "")</f>
        <v/>
      </c>
      <c r="E269" s="9" t="str">
        <f>LARGE(Data!$B$2:$B1000,A269 )</f>
        <v>#NUM!</v>
      </c>
      <c r="F269" s="9" t="str">
        <f t="array" ref="F269">IFERROR(INDEX(Data!C:C, MATCH($E269, Data!$B:$B, 0)), "")</f>
        <v/>
      </c>
      <c r="G269" s="9" t="str">
        <f t="array" ref="G269">IFERROR(INDEX(Data!D:D, MATCH($E269, Data!$B:$B, 0)), "")</f>
        <v/>
      </c>
      <c r="H269" s="9" t="str">
        <f t="array" ref="H269">IFERROR(INDEX(Data!E:E, MATCH($E269, Data!$B:$B, 0)), "")</f>
        <v/>
      </c>
      <c r="I269" s="9" t="str">
        <f t="shared" si="1"/>
        <v/>
      </c>
      <c r="J269" s="9" t="str">
        <f t="shared" si="2"/>
        <v>#REF!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12">
        <v>268.0</v>
      </c>
      <c r="B270" s="13">
        <v>268.0</v>
      </c>
      <c r="C270" s="9" t="str">
        <f t="array" ref="C270">IFERROR(INDEX(Data!F:F, MATCH($E270, Data!$B:$B, 0)), "")</f>
        <v/>
      </c>
      <c r="D270" s="9" t="str">
        <f t="array" ref="D270">IFERROR(INDEX(Data!A:A, MATCH($E270, Data!$B:$B, 0)), "")</f>
        <v/>
      </c>
      <c r="E270" s="9" t="str">
        <f>LARGE(Data!$B$2:$B1000,A270 )</f>
        <v>#NUM!</v>
      </c>
      <c r="F270" s="9" t="str">
        <f t="array" ref="F270">IFERROR(INDEX(Data!C:C, MATCH($E270, Data!$B:$B, 0)), "")</f>
        <v/>
      </c>
      <c r="G270" s="9" t="str">
        <f t="array" ref="G270">IFERROR(INDEX(Data!D:D, MATCH($E270, Data!$B:$B, 0)), "")</f>
        <v/>
      </c>
      <c r="H270" s="9" t="str">
        <f t="array" ref="H270">IFERROR(INDEX(Data!E:E, MATCH($E270, Data!$B:$B, 0)), "")</f>
        <v/>
      </c>
      <c r="I270" s="9" t="str">
        <f t="shared" si="1"/>
        <v/>
      </c>
      <c r="J270" s="9" t="str">
        <f t="shared" si="2"/>
        <v>#REF!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12">
        <v>269.0</v>
      </c>
      <c r="B271" s="13">
        <v>269.0</v>
      </c>
      <c r="C271" s="9" t="str">
        <f t="array" ref="C271">IFERROR(INDEX(Data!F:F, MATCH($E271, Data!$B:$B, 0)), "")</f>
        <v/>
      </c>
      <c r="D271" s="9" t="str">
        <f t="array" ref="D271">IFERROR(INDEX(Data!A:A, MATCH($E271, Data!$B:$B, 0)), "")</f>
        <v/>
      </c>
      <c r="E271" s="9" t="str">
        <f>LARGE(Data!$B$2:$B1000,A271 )</f>
        <v>#NUM!</v>
      </c>
      <c r="F271" s="9" t="str">
        <f t="array" ref="F271">IFERROR(INDEX(Data!C:C, MATCH($E271, Data!$B:$B, 0)), "")</f>
        <v/>
      </c>
      <c r="G271" s="9" t="str">
        <f t="array" ref="G271">IFERROR(INDEX(Data!D:D, MATCH($E271, Data!$B:$B, 0)), "")</f>
        <v/>
      </c>
      <c r="H271" s="9" t="str">
        <f t="array" ref="H271">IFERROR(INDEX(Data!E:E, MATCH($E271, Data!$B:$B, 0)), "")</f>
        <v/>
      </c>
      <c r="I271" s="9" t="str">
        <f t="shared" si="1"/>
        <v/>
      </c>
      <c r="J271" s="9" t="str">
        <f t="shared" si="2"/>
        <v>#REF!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12">
        <v>270.0</v>
      </c>
      <c r="B272" s="13">
        <v>270.0</v>
      </c>
      <c r="C272" s="9" t="str">
        <f t="array" ref="C272">IFERROR(INDEX(Data!F:F, MATCH($E272, Data!$B:$B, 0)), "")</f>
        <v/>
      </c>
      <c r="D272" s="9" t="str">
        <f t="array" ref="D272">IFERROR(INDEX(Data!A:A, MATCH($E272, Data!$B:$B, 0)), "")</f>
        <v/>
      </c>
      <c r="E272" s="9" t="str">
        <f>LARGE(Data!$B$2:$B1000,A272 )</f>
        <v>#NUM!</v>
      </c>
      <c r="F272" s="9" t="str">
        <f t="array" ref="F272">IFERROR(INDEX(Data!C:C, MATCH($E272, Data!$B:$B, 0)), "")</f>
        <v/>
      </c>
      <c r="G272" s="9" t="str">
        <f t="array" ref="G272">IFERROR(INDEX(Data!D:D, MATCH($E272, Data!$B:$B, 0)), "")</f>
        <v/>
      </c>
      <c r="H272" s="9" t="str">
        <f t="array" ref="H272">IFERROR(INDEX(Data!E:E, MATCH($E272, Data!$B:$B, 0)), "")</f>
        <v/>
      </c>
      <c r="I272" s="9" t="str">
        <f t="shared" si="1"/>
        <v/>
      </c>
      <c r="J272" s="9" t="str">
        <f t="shared" si="2"/>
        <v>#REF!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12">
        <v>271.0</v>
      </c>
      <c r="B273" s="13">
        <v>271.0</v>
      </c>
      <c r="C273" s="9" t="str">
        <f t="array" ref="C273">IFERROR(INDEX(Data!F:F, MATCH($E273, Data!$B:$B, 0)), "")</f>
        <v/>
      </c>
      <c r="D273" s="9" t="str">
        <f t="array" ref="D273">IFERROR(INDEX(Data!A:A, MATCH($E273, Data!$B:$B, 0)), "")</f>
        <v/>
      </c>
      <c r="E273" s="9" t="str">
        <f>LARGE(Data!$B$2:$B1000,A273 )</f>
        <v>#NUM!</v>
      </c>
      <c r="F273" s="9" t="str">
        <f t="array" ref="F273">IFERROR(INDEX(Data!C:C, MATCH($E273, Data!$B:$B, 0)), "")</f>
        <v/>
      </c>
      <c r="G273" s="9" t="str">
        <f t="array" ref="G273">IFERROR(INDEX(Data!D:D, MATCH($E273, Data!$B:$B, 0)), "")</f>
        <v/>
      </c>
      <c r="H273" s="9" t="str">
        <f t="array" ref="H273">IFERROR(INDEX(Data!E:E, MATCH($E273, Data!$B:$B, 0)), "")</f>
        <v/>
      </c>
      <c r="I273" s="9" t="str">
        <f t="shared" si="1"/>
        <v/>
      </c>
      <c r="J273" s="9" t="str">
        <f t="shared" si="2"/>
        <v>#REF!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12">
        <v>272.0</v>
      </c>
      <c r="B274" s="13">
        <v>272.0</v>
      </c>
      <c r="C274" s="9" t="str">
        <f t="array" ref="C274">IFERROR(INDEX(Data!F:F, MATCH($E274, Data!$B:$B, 0)), "")</f>
        <v/>
      </c>
      <c r="D274" s="9" t="str">
        <f t="array" ref="D274">IFERROR(INDEX(Data!A:A, MATCH($E274, Data!$B:$B, 0)), "")</f>
        <v/>
      </c>
      <c r="E274" s="9" t="str">
        <f>LARGE(Data!$B$2:$B1000,A274 )</f>
        <v>#NUM!</v>
      </c>
      <c r="F274" s="9" t="str">
        <f t="array" ref="F274">IFERROR(INDEX(Data!C:C, MATCH($E274, Data!$B:$B, 0)), "")</f>
        <v/>
      </c>
      <c r="G274" s="9" t="str">
        <f t="array" ref="G274">IFERROR(INDEX(Data!D:D, MATCH($E274, Data!$B:$B, 0)), "")</f>
        <v/>
      </c>
      <c r="H274" s="9" t="str">
        <f t="array" ref="H274">IFERROR(INDEX(Data!E:E, MATCH($E274, Data!$B:$B, 0)), "")</f>
        <v/>
      </c>
      <c r="I274" s="9" t="str">
        <f t="shared" si="1"/>
        <v/>
      </c>
      <c r="J274" s="9" t="str">
        <f t="shared" si="2"/>
        <v>#REF!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12">
        <v>273.0</v>
      </c>
      <c r="B275" s="13">
        <v>273.0</v>
      </c>
      <c r="C275" s="9" t="str">
        <f t="array" ref="C275">IFERROR(INDEX(Data!F:F, MATCH($E275, Data!$B:$B, 0)), "")</f>
        <v/>
      </c>
      <c r="D275" s="9" t="str">
        <f t="array" ref="D275">IFERROR(INDEX(Data!A:A, MATCH($E275, Data!$B:$B, 0)), "")</f>
        <v/>
      </c>
      <c r="E275" s="9" t="str">
        <f>LARGE(Data!$B$2:$B1000,A275 )</f>
        <v>#NUM!</v>
      </c>
      <c r="F275" s="9" t="str">
        <f t="array" ref="F275">IFERROR(INDEX(Data!C:C, MATCH($E275, Data!$B:$B, 0)), "")</f>
        <v/>
      </c>
      <c r="G275" s="9" t="str">
        <f t="array" ref="G275">IFERROR(INDEX(Data!D:D, MATCH($E275, Data!$B:$B, 0)), "")</f>
        <v/>
      </c>
      <c r="H275" s="9" t="str">
        <f t="array" ref="H275">IFERROR(INDEX(Data!E:E, MATCH($E275, Data!$B:$B, 0)), "")</f>
        <v/>
      </c>
      <c r="I275" s="9" t="str">
        <f t="shared" si="1"/>
        <v/>
      </c>
      <c r="J275" s="9" t="str">
        <f t="shared" si="2"/>
        <v>#REF!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12">
        <v>274.0</v>
      </c>
      <c r="B276" s="13">
        <v>274.0</v>
      </c>
      <c r="C276" s="9" t="str">
        <f t="array" ref="C276">IFERROR(INDEX(Data!F:F, MATCH($E276, Data!$B:$B, 0)), "")</f>
        <v/>
      </c>
      <c r="D276" s="9" t="str">
        <f t="array" ref="D276">IFERROR(INDEX(Data!A:A, MATCH($E276, Data!$B:$B, 0)), "")</f>
        <v/>
      </c>
      <c r="E276" s="9" t="str">
        <f>LARGE(Data!$B$2:$B1000,A276 )</f>
        <v>#NUM!</v>
      </c>
      <c r="F276" s="9" t="str">
        <f t="array" ref="F276">IFERROR(INDEX(Data!C:C, MATCH($E276, Data!$B:$B, 0)), "")</f>
        <v/>
      </c>
      <c r="G276" s="9" t="str">
        <f t="array" ref="G276">IFERROR(INDEX(Data!D:D, MATCH($E276, Data!$B:$B, 0)), "")</f>
        <v/>
      </c>
      <c r="H276" s="9" t="str">
        <f t="array" ref="H276">IFERROR(INDEX(Data!E:E, MATCH($E276, Data!$B:$B, 0)), "")</f>
        <v/>
      </c>
      <c r="I276" s="9" t="str">
        <f t="shared" si="1"/>
        <v/>
      </c>
      <c r="J276" s="9" t="str">
        <f t="shared" si="2"/>
        <v>#REF!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12">
        <v>275.0</v>
      </c>
      <c r="B277" s="13">
        <v>275.0</v>
      </c>
      <c r="C277" s="9" t="str">
        <f t="array" ref="C277">IFERROR(INDEX(Data!F:F, MATCH($E277, Data!$B:$B, 0)), "")</f>
        <v/>
      </c>
      <c r="D277" s="9" t="str">
        <f t="array" ref="D277">IFERROR(INDEX(Data!A:A, MATCH($E277, Data!$B:$B, 0)), "")</f>
        <v/>
      </c>
      <c r="E277" s="9" t="str">
        <f>LARGE(Data!$B$2:$B1000,A277 )</f>
        <v>#NUM!</v>
      </c>
      <c r="F277" s="9" t="str">
        <f t="array" ref="F277">IFERROR(INDEX(Data!C:C, MATCH($E277, Data!$B:$B, 0)), "")</f>
        <v/>
      </c>
      <c r="G277" s="9" t="str">
        <f t="array" ref="G277">IFERROR(INDEX(Data!D:D, MATCH($E277, Data!$B:$B, 0)), "")</f>
        <v/>
      </c>
      <c r="H277" s="9" t="str">
        <f t="array" ref="H277">IFERROR(INDEX(Data!E:E, MATCH($E277, Data!$B:$B, 0)), "")</f>
        <v/>
      </c>
      <c r="I277" s="9" t="str">
        <f t="shared" si="1"/>
        <v/>
      </c>
      <c r="J277" s="9" t="str">
        <f t="shared" si="2"/>
        <v>#REF!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12">
        <v>276.0</v>
      </c>
      <c r="B278" s="13">
        <v>276.0</v>
      </c>
      <c r="C278" s="9" t="str">
        <f t="array" ref="C278">IFERROR(INDEX(Data!F:F, MATCH($E278, Data!$B:$B, 0)), "")</f>
        <v/>
      </c>
      <c r="D278" s="9" t="str">
        <f t="array" ref="D278">IFERROR(INDEX(Data!A:A, MATCH($E278, Data!$B:$B, 0)), "")</f>
        <v/>
      </c>
      <c r="E278" s="9" t="str">
        <f>LARGE(Data!$B$2:$B1000,A278 )</f>
        <v>#NUM!</v>
      </c>
      <c r="F278" s="9" t="str">
        <f t="array" ref="F278">IFERROR(INDEX(Data!C:C, MATCH($E278, Data!$B:$B, 0)), "")</f>
        <v/>
      </c>
      <c r="G278" s="9" t="str">
        <f t="array" ref="G278">IFERROR(INDEX(Data!D:D, MATCH($E278, Data!$B:$B, 0)), "")</f>
        <v/>
      </c>
      <c r="H278" s="9" t="str">
        <f t="array" ref="H278">IFERROR(INDEX(Data!E:E, MATCH($E278, Data!$B:$B, 0)), "")</f>
        <v/>
      </c>
      <c r="I278" s="9" t="str">
        <f t="shared" si="1"/>
        <v/>
      </c>
      <c r="J278" s="9" t="str">
        <f t="shared" si="2"/>
        <v>#REF!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12">
        <v>277.0</v>
      </c>
      <c r="B279" s="13">
        <v>277.0</v>
      </c>
      <c r="C279" s="9" t="str">
        <f t="array" ref="C279">IFERROR(INDEX(Data!F:F, MATCH($E279, Data!$B:$B, 0)), "")</f>
        <v/>
      </c>
      <c r="D279" s="9" t="str">
        <f t="array" ref="D279">IFERROR(INDEX(Data!A:A, MATCH($E279, Data!$B:$B, 0)), "")</f>
        <v/>
      </c>
      <c r="E279" s="9" t="str">
        <f>LARGE(Data!$B$2:$B1000,A279 )</f>
        <v>#NUM!</v>
      </c>
      <c r="F279" s="9" t="str">
        <f t="array" ref="F279">IFERROR(INDEX(Data!C:C, MATCH($E279, Data!$B:$B, 0)), "")</f>
        <v/>
      </c>
      <c r="G279" s="9" t="str">
        <f t="array" ref="G279">IFERROR(INDEX(Data!D:D, MATCH($E279, Data!$B:$B, 0)), "")</f>
        <v/>
      </c>
      <c r="H279" s="9" t="str">
        <f t="array" ref="H279">IFERROR(INDEX(Data!E:E, MATCH($E279, Data!$B:$B, 0)), "")</f>
        <v/>
      </c>
      <c r="I279" s="9" t="str">
        <f t="shared" si="1"/>
        <v/>
      </c>
      <c r="J279" s="9" t="str">
        <f t="shared" si="2"/>
        <v>#REF!</v>
      </c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12">
        <v>278.0</v>
      </c>
      <c r="B280" s="13">
        <v>278.0</v>
      </c>
      <c r="C280" s="9" t="str">
        <f t="array" ref="C280">IFERROR(INDEX(Data!F:F, MATCH($E280, Data!$B:$B, 0)), "")</f>
        <v/>
      </c>
      <c r="D280" s="9" t="str">
        <f t="array" ref="D280">IFERROR(INDEX(Data!A:A, MATCH($E280, Data!$B:$B, 0)), "")</f>
        <v/>
      </c>
      <c r="E280" s="9" t="str">
        <f>LARGE(Data!$B$2:$B1000,A280 )</f>
        <v>#NUM!</v>
      </c>
      <c r="F280" s="9" t="str">
        <f t="array" ref="F280">IFERROR(INDEX(Data!C:C, MATCH($E280, Data!$B:$B, 0)), "")</f>
        <v/>
      </c>
      <c r="G280" s="9" t="str">
        <f t="array" ref="G280">IFERROR(INDEX(Data!D:D, MATCH($E280, Data!$B:$B, 0)), "")</f>
        <v/>
      </c>
      <c r="H280" s="9" t="str">
        <f t="array" ref="H280">IFERROR(INDEX(Data!E:E, MATCH($E280, Data!$B:$B, 0)), "")</f>
        <v/>
      </c>
      <c r="I280" s="9" t="str">
        <f t="shared" si="1"/>
        <v/>
      </c>
      <c r="J280" s="9" t="str">
        <f t="shared" si="2"/>
        <v>#REF!</v>
      </c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12">
        <v>279.0</v>
      </c>
      <c r="B281" s="13">
        <v>279.0</v>
      </c>
      <c r="C281" s="9" t="str">
        <f t="array" ref="C281">IFERROR(INDEX(Data!F:F, MATCH($E281, Data!$B:$B, 0)), "")</f>
        <v/>
      </c>
      <c r="D281" s="9" t="str">
        <f t="array" ref="D281">IFERROR(INDEX(Data!A:A, MATCH($E281, Data!$B:$B, 0)), "")</f>
        <v/>
      </c>
      <c r="E281" s="9" t="str">
        <f>LARGE(Data!$B$2:$B1000,A281 )</f>
        <v>#NUM!</v>
      </c>
      <c r="F281" s="9" t="str">
        <f t="array" ref="F281">IFERROR(INDEX(Data!C:C, MATCH($E281, Data!$B:$B, 0)), "")</f>
        <v/>
      </c>
      <c r="G281" s="9" t="str">
        <f t="array" ref="G281">IFERROR(INDEX(Data!D:D, MATCH($E281, Data!$B:$B, 0)), "")</f>
        <v/>
      </c>
      <c r="H281" s="9" t="str">
        <f t="array" ref="H281">IFERROR(INDEX(Data!E:E, MATCH($E281, Data!$B:$B, 0)), "")</f>
        <v/>
      </c>
      <c r="I281" s="9" t="str">
        <f t="shared" si="1"/>
        <v/>
      </c>
      <c r="J281" s="9" t="str">
        <f t="shared" si="2"/>
        <v>#REF!</v>
      </c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12">
        <v>280.0</v>
      </c>
      <c r="B282" s="13">
        <v>280.0</v>
      </c>
      <c r="C282" s="9" t="str">
        <f t="array" ref="C282">IFERROR(INDEX(Data!F:F, MATCH($E282, Data!$B:$B, 0)), "")</f>
        <v/>
      </c>
      <c r="D282" s="9" t="str">
        <f t="array" ref="D282">IFERROR(INDEX(Data!A:A, MATCH($E282, Data!$B:$B, 0)), "")</f>
        <v/>
      </c>
      <c r="E282" s="9" t="str">
        <f>LARGE(Data!$B$2:$B1000,A282 )</f>
        <v>#NUM!</v>
      </c>
      <c r="F282" s="9" t="str">
        <f t="array" ref="F282">IFERROR(INDEX(Data!C:C, MATCH($E282, Data!$B:$B, 0)), "")</f>
        <v/>
      </c>
      <c r="G282" s="9" t="str">
        <f t="array" ref="G282">IFERROR(INDEX(Data!D:D, MATCH($E282, Data!$B:$B, 0)), "")</f>
        <v/>
      </c>
      <c r="H282" s="9" t="str">
        <f t="array" ref="H282">IFERROR(INDEX(Data!E:E, MATCH($E282, Data!$B:$B, 0)), "")</f>
        <v/>
      </c>
      <c r="I282" s="9" t="str">
        <f t="shared" si="1"/>
        <v/>
      </c>
      <c r="J282" s="9" t="str">
        <f t="shared" si="2"/>
        <v>#REF!</v>
      </c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12">
        <v>281.0</v>
      </c>
      <c r="B283" s="13">
        <v>281.0</v>
      </c>
      <c r="C283" s="9" t="str">
        <f t="array" ref="C283">IFERROR(INDEX(Data!F:F, MATCH($E283, Data!$B:$B, 0)), "")</f>
        <v/>
      </c>
      <c r="D283" s="9" t="str">
        <f t="array" ref="D283">IFERROR(INDEX(Data!A:A, MATCH($E283, Data!$B:$B, 0)), "")</f>
        <v/>
      </c>
      <c r="E283" s="9" t="str">
        <f>LARGE(Data!$B$2:$B1000,A283 )</f>
        <v>#NUM!</v>
      </c>
      <c r="F283" s="9" t="str">
        <f t="array" ref="F283">IFERROR(INDEX(Data!C:C, MATCH($E283, Data!$B:$B, 0)), "")</f>
        <v/>
      </c>
      <c r="G283" s="9" t="str">
        <f t="array" ref="G283">IFERROR(INDEX(Data!D:D, MATCH($E283, Data!$B:$B, 0)), "")</f>
        <v/>
      </c>
      <c r="H283" s="9" t="str">
        <f t="array" ref="H283">IFERROR(INDEX(Data!E:E, MATCH($E283, Data!$B:$B, 0)), "")</f>
        <v/>
      </c>
      <c r="I283" s="9" t="str">
        <f t="shared" si="1"/>
        <v/>
      </c>
      <c r="J283" s="9" t="str">
        <f t="shared" si="2"/>
        <v>#REF!</v>
      </c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12">
        <v>282.0</v>
      </c>
      <c r="B284" s="13">
        <v>282.0</v>
      </c>
      <c r="C284" s="9" t="str">
        <f t="array" ref="C284">IFERROR(INDEX(Data!F:F, MATCH($E284, Data!$B:$B, 0)), "")</f>
        <v/>
      </c>
      <c r="D284" s="9" t="str">
        <f t="array" ref="D284">IFERROR(INDEX(Data!A:A, MATCH($E284, Data!$B:$B, 0)), "")</f>
        <v/>
      </c>
      <c r="E284" s="9" t="str">
        <f>LARGE(Data!$B$2:$B1000,A284 )</f>
        <v>#NUM!</v>
      </c>
      <c r="F284" s="9" t="str">
        <f t="array" ref="F284">IFERROR(INDEX(Data!C:C, MATCH($E284, Data!$B:$B, 0)), "")</f>
        <v/>
      </c>
      <c r="G284" s="9" t="str">
        <f t="array" ref="G284">IFERROR(INDEX(Data!D:D, MATCH($E284, Data!$B:$B, 0)), "")</f>
        <v/>
      </c>
      <c r="H284" s="9" t="str">
        <f t="array" ref="H284">IFERROR(INDEX(Data!E:E, MATCH($E284, Data!$B:$B, 0)), "")</f>
        <v/>
      </c>
      <c r="I284" s="9" t="str">
        <f t="shared" si="1"/>
        <v/>
      </c>
      <c r="J284" s="9" t="str">
        <f t="shared" si="2"/>
        <v>#REF!</v>
      </c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12">
        <v>283.0</v>
      </c>
      <c r="B285" s="13">
        <v>283.0</v>
      </c>
      <c r="C285" s="9" t="str">
        <f t="array" ref="C285">IFERROR(INDEX(Data!F:F, MATCH($E285, Data!$B:$B, 0)), "")</f>
        <v/>
      </c>
      <c r="D285" s="9" t="str">
        <f t="array" ref="D285">IFERROR(INDEX(Data!A:A, MATCH($E285, Data!$B:$B, 0)), "")</f>
        <v/>
      </c>
      <c r="E285" s="9" t="str">
        <f>LARGE(Data!$B$2:$B1000,A285 )</f>
        <v>#NUM!</v>
      </c>
      <c r="F285" s="9" t="str">
        <f t="array" ref="F285">IFERROR(INDEX(Data!C:C, MATCH($E285, Data!$B:$B, 0)), "")</f>
        <v/>
      </c>
      <c r="G285" s="9" t="str">
        <f t="array" ref="G285">IFERROR(INDEX(Data!D:D, MATCH($E285, Data!$B:$B, 0)), "")</f>
        <v/>
      </c>
      <c r="H285" s="9" t="str">
        <f t="array" ref="H285">IFERROR(INDEX(Data!E:E, MATCH($E285, Data!$B:$B, 0)), "")</f>
        <v/>
      </c>
      <c r="I285" s="9" t="str">
        <f t="shared" si="1"/>
        <v/>
      </c>
      <c r="J285" s="9" t="str">
        <f t="shared" si="2"/>
        <v>#REF!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12">
        <v>284.0</v>
      </c>
      <c r="B286" s="13">
        <v>284.0</v>
      </c>
      <c r="C286" s="9" t="str">
        <f t="array" ref="C286">IFERROR(INDEX(Data!F:F, MATCH($E286, Data!$B:$B, 0)), "")</f>
        <v/>
      </c>
      <c r="D286" s="9" t="str">
        <f t="array" ref="D286">IFERROR(INDEX(Data!A:A, MATCH($E286, Data!$B:$B, 0)), "")</f>
        <v/>
      </c>
      <c r="E286" s="9" t="str">
        <f>LARGE(Data!$B$2:$B1000,A286 )</f>
        <v>#NUM!</v>
      </c>
      <c r="F286" s="9" t="str">
        <f t="array" ref="F286">IFERROR(INDEX(Data!C:C, MATCH($E286, Data!$B:$B, 0)), "")</f>
        <v/>
      </c>
      <c r="G286" s="9" t="str">
        <f t="array" ref="G286">IFERROR(INDEX(Data!D:D, MATCH($E286, Data!$B:$B, 0)), "")</f>
        <v/>
      </c>
      <c r="H286" s="9" t="str">
        <f t="array" ref="H286">IFERROR(INDEX(Data!E:E, MATCH($E286, Data!$B:$B, 0)), "")</f>
        <v/>
      </c>
      <c r="I286" s="9" t="str">
        <f t="shared" si="1"/>
        <v/>
      </c>
      <c r="J286" s="9" t="str">
        <f t="shared" si="2"/>
        <v>#REF!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12">
        <v>285.0</v>
      </c>
      <c r="B287" s="13">
        <v>285.0</v>
      </c>
      <c r="C287" s="9" t="str">
        <f t="array" ref="C287">IFERROR(INDEX(Data!F:F, MATCH($E287, Data!$B:$B, 0)), "")</f>
        <v/>
      </c>
      <c r="D287" s="9" t="str">
        <f t="array" ref="D287">IFERROR(INDEX(Data!A:A, MATCH($E287, Data!$B:$B, 0)), "")</f>
        <v/>
      </c>
      <c r="E287" s="9" t="str">
        <f>LARGE(Data!$B$2:$B1000,A287 )</f>
        <v>#NUM!</v>
      </c>
      <c r="F287" s="9" t="str">
        <f t="array" ref="F287">IFERROR(INDEX(Data!C:C, MATCH($E287, Data!$B:$B, 0)), "")</f>
        <v/>
      </c>
      <c r="G287" s="9" t="str">
        <f t="array" ref="G287">IFERROR(INDEX(Data!D:D, MATCH($E287, Data!$B:$B, 0)), "")</f>
        <v/>
      </c>
      <c r="H287" s="9" t="str">
        <f t="array" ref="H287">IFERROR(INDEX(Data!E:E, MATCH($E287, Data!$B:$B, 0)), "")</f>
        <v/>
      </c>
      <c r="I287" s="9" t="str">
        <f t="shared" si="1"/>
        <v/>
      </c>
      <c r="J287" s="9" t="str">
        <f t="shared" si="2"/>
        <v>#REF!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12">
        <v>286.0</v>
      </c>
      <c r="B288" s="13">
        <v>286.0</v>
      </c>
      <c r="C288" s="9" t="str">
        <f t="array" ref="C288">IFERROR(INDEX(Data!F:F, MATCH($E288, Data!$B:$B, 0)), "")</f>
        <v/>
      </c>
      <c r="D288" s="9" t="str">
        <f t="array" ref="D288">IFERROR(INDEX(Data!A:A, MATCH($E288, Data!$B:$B, 0)), "")</f>
        <v/>
      </c>
      <c r="E288" s="9" t="str">
        <f>LARGE(Data!$B$2:$B1000,A288 )</f>
        <v>#NUM!</v>
      </c>
      <c r="F288" s="9" t="str">
        <f t="array" ref="F288">IFERROR(INDEX(Data!C:C, MATCH($E288, Data!$B:$B, 0)), "")</f>
        <v/>
      </c>
      <c r="G288" s="9" t="str">
        <f t="array" ref="G288">IFERROR(INDEX(Data!D:D, MATCH($E288, Data!$B:$B, 0)), "")</f>
        <v/>
      </c>
      <c r="H288" s="9" t="str">
        <f t="array" ref="H288">IFERROR(INDEX(Data!E:E, MATCH($E288, Data!$B:$B, 0)), "")</f>
        <v/>
      </c>
      <c r="I288" s="9" t="str">
        <f t="shared" si="1"/>
        <v/>
      </c>
      <c r="J288" s="9" t="str">
        <f t="shared" si="2"/>
        <v>#REF!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12">
        <v>287.0</v>
      </c>
      <c r="B289" s="13">
        <v>287.0</v>
      </c>
      <c r="C289" s="9" t="str">
        <f t="array" ref="C289">IFERROR(INDEX(Data!F:F, MATCH($E289, Data!$B:$B, 0)), "")</f>
        <v/>
      </c>
      <c r="D289" s="9" t="str">
        <f t="array" ref="D289">IFERROR(INDEX(Data!A:A, MATCH($E289, Data!$B:$B, 0)), "")</f>
        <v/>
      </c>
      <c r="E289" s="9" t="str">
        <f>LARGE(Data!$B$2:$B1000,A289 )</f>
        <v>#NUM!</v>
      </c>
      <c r="F289" s="9" t="str">
        <f t="array" ref="F289">IFERROR(INDEX(Data!C:C, MATCH($E289, Data!$B:$B, 0)), "")</f>
        <v/>
      </c>
      <c r="G289" s="9" t="str">
        <f t="array" ref="G289">IFERROR(INDEX(Data!D:D, MATCH($E289, Data!$B:$B, 0)), "")</f>
        <v/>
      </c>
      <c r="H289" s="9" t="str">
        <f t="array" ref="H289">IFERROR(INDEX(Data!E:E, MATCH($E289, Data!$B:$B, 0)), "")</f>
        <v/>
      </c>
      <c r="I289" s="9" t="str">
        <f t="shared" si="1"/>
        <v/>
      </c>
      <c r="J289" s="9" t="str">
        <f t="shared" si="2"/>
        <v>#REF!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12">
        <v>288.0</v>
      </c>
      <c r="B290" s="13">
        <v>288.0</v>
      </c>
      <c r="C290" s="9" t="str">
        <f t="array" ref="C290">IFERROR(INDEX(Data!F:F, MATCH($E290, Data!$B:$B, 0)), "")</f>
        <v/>
      </c>
      <c r="D290" s="9" t="str">
        <f t="array" ref="D290">IFERROR(INDEX(Data!A:A, MATCH($E290, Data!$B:$B, 0)), "")</f>
        <v/>
      </c>
      <c r="E290" s="9" t="str">
        <f>LARGE(Data!$B$2:$B1000,A290 )</f>
        <v>#NUM!</v>
      </c>
      <c r="F290" s="9" t="str">
        <f t="array" ref="F290">IFERROR(INDEX(Data!C:C, MATCH($E290, Data!$B:$B, 0)), "")</f>
        <v/>
      </c>
      <c r="G290" s="9" t="str">
        <f t="array" ref="G290">IFERROR(INDEX(Data!D:D, MATCH($E290, Data!$B:$B, 0)), "")</f>
        <v/>
      </c>
      <c r="H290" s="9" t="str">
        <f t="array" ref="H290">IFERROR(INDEX(Data!E:E, MATCH($E290, Data!$B:$B, 0)), "")</f>
        <v/>
      </c>
      <c r="I290" s="9" t="str">
        <f t="shared" si="1"/>
        <v/>
      </c>
      <c r="J290" s="9" t="str">
        <f t="shared" si="2"/>
        <v>#REF!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12">
        <v>289.0</v>
      </c>
      <c r="B291" s="13">
        <v>289.0</v>
      </c>
      <c r="C291" s="9" t="str">
        <f t="array" ref="C291">IFERROR(INDEX(Data!F:F, MATCH($E291, Data!$B:$B, 0)), "")</f>
        <v/>
      </c>
      <c r="D291" s="9" t="str">
        <f t="array" ref="D291">IFERROR(INDEX(Data!A:A, MATCH($E291, Data!$B:$B, 0)), "")</f>
        <v/>
      </c>
      <c r="E291" s="9" t="str">
        <f>LARGE(Data!$B$2:$B1000,A291 )</f>
        <v>#NUM!</v>
      </c>
      <c r="F291" s="9" t="str">
        <f t="array" ref="F291">IFERROR(INDEX(Data!C:C, MATCH($E291, Data!$B:$B, 0)), "")</f>
        <v/>
      </c>
      <c r="G291" s="9" t="str">
        <f t="array" ref="G291">IFERROR(INDEX(Data!D:D, MATCH($E291, Data!$B:$B, 0)), "")</f>
        <v/>
      </c>
      <c r="H291" s="9" t="str">
        <f t="array" ref="H291">IFERROR(INDEX(Data!E:E, MATCH($E291, Data!$B:$B, 0)), "")</f>
        <v/>
      </c>
      <c r="I291" s="9" t="str">
        <f t="shared" si="1"/>
        <v/>
      </c>
      <c r="J291" s="9" t="str">
        <f t="shared" si="2"/>
        <v>#REF!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12">
        <v>290.0</v>
      </c>
      <c r="B292" s="13">
        <v>290.0</v>
      </c>
      <c r="C292" s="9" t="str">
        <f t="array" ref="C292">IFERROR(INDEX(Data!F:F, MATCH($E292, Data!$B:$B, 0)), "")</f>
        <v/>
      </c>
      <c r="D292" s="9" t="str">
        <f t="array" ref="D292">IFERROR(INDEX(Data!A:A, MATCH($E292, Data!$B:$B, 0)), "")</f>
        <v/>
      </c>
      <c r="E292" s="9" t="str">
        <f>LARGE(Data!$B$2:$B1000,A292 )</f>
        <v>#NUM!</v>
      </c>
      <c r="F292" s="9" t="str">
        <f t="array" ref="F292">IFERROR(INDEX(Data!C:C, MATCH($E292, Data!$B:$B, 0)), "")</f>
        <v/>
      </c>
      <c r="G292" s="9" t="str">
        <f t="array" ref="G292">IFERROR(INDEX(Data!D:D, MATCH($E292, Data!$B:$B, 0)), "")</f>
        <v/>
      </c>
      <c r="H292" s="9" t="str">
        <f t="array" ref="H292">IFERROR(INDEX(Data!E:E, MATCH($E292, Data!$B:$B, 0)), "")</f>
        <v/>
      </c>
      <c r="I292" s="9" t="str">
        <f t="shared" si="1"/>
        <v/>
      </c>
      <c r="J292" s="9" t="str">
        <f t="shared" si="2"/>
        <v>#REF!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12">
        <v>291.0</v>
      </c>
      <c r="B293" s="13">
        <v>291.0</v>
      </c>
      <c r="C293" s="9" t="str">
        <f t="array" ref="C293">IFERROR(INDEX(Data!F:F, MATCH($E293, Data!$B:$B, 0)), "")</f>
        <v/>
      </c>
      <c r="D293" s="9" t="str">
        <f t="array" ref="D293">IFERROR(INDEX(Data!A:A, MATCH($E293, Data!$B:$B, 0)), "")</f>
        <v/>
      </c>
      <c r="E293" s="9" t="str">
        <f>LARGE(Data!$B$2:$B1000,A293 )</f>
        <v>#NUM!</v>
      </c>
      <c r="F293" s="9" t="str">
        <f t="array" ref="F293">IFERROR(INDEX(Data!C:C, MATCH($E293, Data!$B:$B, 0)), "")</f>
        <v/>
      </c>
      <c r="G293" s="9" t="str">
        <f t="array" ref="G293">IFERROR(INDEX(Data!D:D, MATCH($E293, Data!$B:$B, 0)), "")</f>
        <v/>
      </c>
      <c r="H293" s="9" t="str">
        <f t="array" ref="H293">IFERROR(INDEX(Data!E:E, MATCH($E293, Data!$B:$B, 0)), "")</f>
        <v/>
      </c>
      <c r="I293" s="9" t="str">
        <f t="shared" si="1"/>
        <v/>
      </c>
      <c r="J293" s="9" t="str">
        <f t="shared" si="2"/>
        <v>#REF!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12">
        <v>292.0</v>
      </c>
      <c r="B294" s="13">
        <v>292.0</v>
      </c>
      <c r="C294" s="9" t="str">
        <f t="array" ref="C294">IFERROR(INDEX(Data!F:F, MATCH($E294, Data!$B:$B, 0)), "")</f>
        <v/>
      </c>
      <c r="D294" s="9" t="str">
        <f t="array" ref="D294">IFERROR(INDEX(Data!A:A, MATCH($E294, Data!$B:$B, 0)), "")</f>
        <v/>
      </c>
      <c r="E294" s="9" t="str">
        <f>LARGE(Data!$B$2:$B1000,A294 )</f>
        <v>#NUM!</v>
      </c>
      <c r="F294" s="9" t="str">
        <f t="array" ref="F294">IFERROR(INDEX(Data!C:C, MATCH($E294, Data!$B:$B, 0)), "")</f>
        <v/>
      </c>
      <c r="G294" s="9" t="str">
        <f t="array" ref="G294">IFERROR(INDEX(Data!D:D, MATCH($E294, Data!$B:$B, 0)), "")</f>
        <v/>
      </c>
      <c r="H294" s="9" t="str">
        <f t="array" ref="H294">IFERROR(INDEX(Data!E:E, MATCH($E294, Data!$B:$B, 0)), "")</f>
        <v/>
      </c>
      <c r="I294" s="9" t="str">
        <f t="shared" si="1"/>
        <v/>
      </c>
      <c r="J294" s="9" t="str">
        <f t="shared" si="2"/>
        <v>#REF!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12">
        <v>293.0</v>
      </c>
      <c r="B295" s="13">
        <v>293.0</v>
      </c>
      <c r="C295" s="9" t="str">
        <f t="array" ref="C295">IFERROR(INDEX(Data!F:F, MATCH($E295, Data!$B:$B, 0)), "")</f>
        <v/>
      </c>
      <c r="D295" s="9" t="str">
        <f t="array" ref="D295">IFERROR(INDEX(Data!A:A, MATCH($E295, Data!$B:$B, 0)), "")</f>
        <v/>
      </c>
      <c r="E295" s="9" t="str">
        <f>LARGE(Data!$B$2:$B1000,A295 )</f>
        <v>#NUM!</v>
      </c>
      <c r="F295" s="9" t="str">
        <f t="array" ref="F295">IFERROR(INDEX(Data!C:C, MATCH($E295, Data!$B:$B, 0)), "")</f>
        <v/>
      </c>
      <c r="G295" s="9" t="str">
        <f t="array" ref="G295">IFERROR(INDEX(Data!D:D, MATCH($E295, Data!$B:$B, 0)), "")</f>
        <v/>
      </c>
      <c r="H295" s="9" t="str">
        <f t="array" ref="H295">IFERROR(INDEX(Data!E:E, MATCH($E295, Data!$B:$B, 0)), "")</f>
        <v/>
      </c>
      <c r="I295" s="9" t="str">
        <f t="shared" si="1"/>
        <v/>
      </c>
      <c r="J295" s="9" t="str">
        <f t="shared" si="2"/>
        <v>#REF!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12">
        <v>294.0</v>
      </c>
      <c r="B296" s="13">
        <v>294.0</v>
      </c>
      <c r="C296" s="9" t="str">
        <f t="array" ref="C296">IFERROR(INDEX(Data!F:F, MATCH($E296, Data!$B:$B, 0)), "")</f>
        <v/>
      </c>
      <c r="D296" s="9" t="str">
        <f t="array" ref="D296">IFERROR(INDEX(Data!A:A, MATCH($E296, Data!$B:$B, 0)), "")</f>
        <v/>
      </c>
      <c r="E296" s="9" t="str">
        <f>LARGE(Data!$B$2:$B1000,A296 )</f>
        <v>#NUM!</v>
      </c>
      <c r="F296" s="9" t="str">
        <f t="array" ref="F296">IFERROR(INDEX(Data!C:C, MATCH($E296, Data!$B:$B, 0)), "")</f>
        <v/>
      </c>
      <c r="G296" s="9" t="str">
        <f t="array" ref="G296">IFERROR(INDEX(Data!D:D, MATCH($E296, Data!$B:$B, 0)), "")</f>
        <v/>
      </c>
      <c r="H296" s="9" t="str">
        <f t="array" ref="H296">IFERROR(INDEX(Data!E:E, MATCH($E296, Data!$B:$B, 0)), "")</f>
        <v/>
      </c>
      <c r="I296" s="9" t="str">
        <f t="shared" si="1"/>
        <v/>
      </c>
      <c r="J296" s="9" t="str">
        <f t="shared" si="2"/>
        <v>#REF!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12">
        <v>295.0</v>
      </c>
      <c r="B297" s="13">
        <v>295.0</v>
      </c>
      <c r="C297" s="9" t="str">
        <f t="array" ref="C297">IFERROR(INDEX(Data!F:F, MATCH($E297, Data!$B:$B, 0)), "")</f>
        <v/>
      </c>
      <c r="D297" s="9" t="str">
        <f t="array" ref="D297">IFERROR(INDEX(Data!A:A, MATCH($E297, Data!$B:$B, 0)), "")</f>
        <v/>
      </c>
      <c r="E297" s="9" t="str">
        <f>LARGE(Data!$B$2:$B1000,A297 )</f>
        <v>#NUM!</v>
      </c>
      <c r="F297" s="9" t="str">
        <f t="array" ref="F297">IFERROR(INDEX(Data!C:C, MATCH($E297, Data!$B:$B, 0)), "")</f>
        <v/>
      </c>
      <c r="G297" s="9" t="str">
        <f t="array" ref="G297">IFERROR(INDEX(Data!D:D, MATCH($E297, Data!$B:$B, 0)), "")</f>
        <v/>
      </c>
      <c r="H297" s="9" t="str">
        <f t="array" ref="H297">IFERROR(INDEX(Data!E:E, MATCH($E297, Data!$B:$B, 0)), "")</f>
        <v/>
      </c>
      <c r="I297" s="9" t="str">
        <f t="shared" si="1"/>
        <v/>
      </c>
      <c r="J297" s="9" t="str">
        <f t="shared" si="2"/>
        <v>#REF!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12">
        <v>296.0</v>
      </c>
      <c r="B298" s="13">
        <v>296.0</v>
      </c>
      <c r="C298" s="9" t="str">
        <f t="array" ref="C298">IFERROR(INDEX(Data!F:F, MATCH($E298, Data!$B:$B, 0)), "")</f>
        <v/>
      </c>
      <c r="D298" s="9" t="str">
        <f t="array" ref="D298">IFERROR(INDEX(Data!A:A, MATCH($E298, Data!$B:$B, 0)), "")</f>
        <v/>
      </c>
      <c r="E298" s="9" t="str">
        <f>LARGE(Data!$B$2:$B1000,A298 )</f>
        <v>#NUM!</v>
      </c>
      <c r="F298" s="9" t="str">
        <f t="array" ref="F298">IFERROR(INDEX(Data!C:C, MATCH($E298, Data!$B:$B, 0)), "")</f>
        <v/>
      </c>
      <c r="G298" s="9" t="str">
        <f t="array" ref="G298">IFERROR(INDEX(Data!D:D, MATCH($E298, Data!$B:$B, 0)), "")</f>
        <v/>
      </c>
      <c r="H298" s="9" t="str">
        <f t="array" ref="H298">IFERROR(INDEX(Data!E:E, MATCH($E298, Data!$B:$B, 0)), "")</f>
        <v/>
      </c>
      <c r="I298" s="9" t="str">
        <f t="shared" si="1"/>
        <v/>
      </c>
      <c r="J298" s="9" t="str">
        <f t="shared" si="2"/>
        <v>#REF!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12">
        <v>297.0</v>
      </c>
      <c r="B299" s="13">
        <v>297.0</v>
      </c>
      <c r="C299" s="9" t="str">
        <f t="array" ref="C299">IFERROR(INDEX(Data!F:F, MATCH($E299, Data!$B:$B, 0)), "")</f>
        <v/>
      </c>
      <c r="D299" s="9" t="str">
        <f t="array" ref="D299">IFERROR(INDEX(Data!A:A, MATCH($E299, Data!$B:$B, 0)), "")</f>
        <v/>
      </c>
      <c r="E299" s="9" t="str">
        <f>LARGE(Data!$B$2:$B1000,A299 )</f>
        <v>#NUM!</v>
      </c>
      <c r="F299" s="9" t="str">
        <f t="array" ref="F299">IFERROR(INDEX(Data!C:C, MATCH($E299, Data!$B:$B, 0)), "")</f>
        <v/>
      </c>
      <c r="G299" s="9" t="str">
        <f t="array" ref="G299">IFERROR(INDEX(Data!D:D, MATCH($E299, Data!$B:$B, 0)), "")</f>
        <v/>
      </c>
      <c r="H299" s="9" t="str">
        <f t="array" ref="H299">IFERROR(INDEX(Data!E:E, MATCH($E299, Data!$B:$B, 0)), "")</f>
        <v/>
      </c>
      <c r="I299" s="9" t="str">
        <f t="shared" si="1"/>
        <v/>
      </c>
      <c r="J299" s="9" t="str">
        <f t="shared" si="2"/>
        <v>#REF!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12">
        <v>298.0</v>
      </c>
      <c r="B300" s="13">
        <v>298.0</v>
      </c>
      <c r="C300" s="9" t="str">
        <f t="array" ref="C300">IFERROR(INDEX(Data!F:F, MATCH($E300, Data!$B:$B, 0)), "")</f>
        <v/>
      </c>
      <c r="D300" s="9" t="str">
        <f t="array" ref="D300">IFERROR(INDEX(Data!A:A, MATCH($E300, Data!$B:$B, 0)), "")</f>
        <v/>
      </c>
      <c r="E300" s="9" t="str">
        <f>LARGE(Data!$B$2:$B1000,A300 )</f>
        <v>#NUM!</v>
      </c>
      <c r="F300" s="9" t="str">
        <f t="array" ref="F300">IFERROR(INDEX(Data!C:C, MATCH($E300, Data!$B:$B, 0)), "")</f>
        <v/>
      </c>
      <c r="G300" s="9" t="str">
        <f t="array" ref="G300">IFERROR(INDEX(Data!D:D, MATCH($E300, Data!$B:$B, 0)), "")</f>
        <v/>
      </c>
      <c r="H300" s="9" t="str">
        <f t="array" ref="H300">IFERROR(INDEX(Data!E:E, MATCH($E300, Data!$B:$B, 0)), "")</f>
        <v/>
      </c>
      <c r="I300" s="9" t="str">
        <f t="shared" si="1"/>
        <v/>
      </c>
      <c r="J300" s="9" t="str">
        <f t="shared" si="2"/>
        <v>#REF!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12">
        <v>299.0</v>
      </c>
      <c r="B301" s="13">
        <v>299.0</v>
      </c>
      <c r="C301" s="9" t="str">
        <f t="array" ref="C301">IFERROR(INDEX(Data!F:F, MATCH($E301, Data!$B:$B, 0)), "")</f>
        <v/>
      </c>
      <c r="D301" s="9" t="str">
        <f t="array" ref="D301">IFERROR(INDEX(Data!A:A, MATCH($E301, Data!$B:$B, 0)), "")</f>
        <v/>
      </c>
      <c r="E301" s="9" t="str">
        <f>LARGE(Data!$B$2:$B1000,A301 )</f>
        <v>#NUM!</v>
      </c>
      <c r="F301" s="9" t="str">
        <f t="array" ref="F301">IFERROR(INDEX(Data!C:C, MATCH($E301, Data!$B:$B, 0)), "")</f>
        <v/>
      </c>
      <c r="G301" s="9" t="str">
        <f t="array" ref="G301">IFERROR(INDEX(Data!D:D, MATCH($E301, Data!$B:$B, 0)), "")</f>
        <v/>
      </c>
      <c r="H301" s="9" t="str">
        <f t="array" ref="H301">IFERROR(INDEX(Data!E:E, MATCH($E301, Data!$B:$B, 0)), "")</f>
        <v/>
      </c>
      <c r="I301" s="9" t="str">
        <f t="shared" si="1"/>
        <v/>
      </c>
      <c r="J301" s="9" t="str">
        <f t="shared" si="2"/>
        <v>#REF!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12">
        <v>300.0</v>
      </c>
      <c r="B302" s="13">
        <v>300.0</v>
      </c>
      <c r="C302" s="9" t="str">
        <f t="array" ref="C302">IFERROR(INDEX(Data!F:F, MATCH($E302, Data!$B:$B, 0)), "")</f>
        <v/>
      </c>
      <c r="D302" s="9" t="str">
        <f t="array" ref="D302">IFERROR(INDEX(Data!A:A, MATCH($E302, Data!$B:$B, 0)), "")</f>
        <v/>
      </c>
      <c r="E302" s="9" t="str">
        <f>LARGE(Data!$B$2:$B1000,A302 )</f>
        <v>#NUM!</v>
      </c>
      <c r="F302" s="9" t="str">
        <f t="array" ref="F302">IFERROR(INDEX(Data!C:C, MATCH($E302, Data!$B:$B, 0)), "")</f>
        <v/>
      </c>
      <c r="G302" s="9" t="str">
        <f t="array" ref="G302">IFERROR(INDEX(Data!D:D, MATCH($E302, Data!$B:$B, 0)), "")</f>
        <v/>
      </c>
      <c r="H302" s="9" t="str">
        <f t="array" ref="H302">IFERROR(INDEX(Data!E:E, MATCH($E302, Data!$B:$B, 0)), "")</f>
        <v/>
      </c>
      <c r="I302" s="9" t="str">
        <f t="shared" si="1"/>
        <v/>
      </c>
      <c r="J302" s="9" t="str">
        <f t="shared" si="2"/>
        <v>#REF!</v>
      </c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12">
        <v>301.0</v>
      </c>
      <c r="B303" s="13">
        <v>301.0</v>
      </c>
      <c r="C303" s="9" t="str">
        <f t="array" ref="C303">IFERROR(INDEX(Data!F:F, MATCH($E303, Data!$B:$B, 0)), "")</f>
        <v/>
      </c>
      <c r="D303" s="9" t="str">
        <f t="array" ref="D303">IFERROR(INDEX(Data!A:A, MATCH($E303, Data!$B:$B, 0)), "")</f>
        <v/>
      </c>
      <c r="E303" s="9" t="str">
        <f>LARGE(Data!$B$2:$B1000,A303 )</f>
        <v>#NUM!</v>
      </c>
      <c r="F303" s="9" t="str">
        <f t="array" ref="F303">IFERROR(INDEX(Data!C:C, MATCH($E303, Data!$B:$B, 0)), "")</f>
        <v/>
      </c>
      <c r="G303" s="9" t="str">
        <f t="array" ref="G303">IFERROR(INDEX(Data!D:D, MATCH($E303, Data!$B:$B, 0)), "")</f>
        <v/>
      </c>
      <c r="H303" s="9" t="str">
        <f t="array" ref="H303">IFERROR(INDEX(Data!E:E, MATCH($E303, Data!$B:$B, 0)), "")</f>
        <v/>
      </c>
      <c r="I303" s="9" t="str">
        <f t="shared" si="1"/>
        <v/>
      </c>
      <c r="J303" s="9" t="str">
        <f t="shared" si="2"/>
        <v>#REF!</v>
      </c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12">
        <v>302.0</v>
      </c>
      <c r="B304" s="13">
        <v>302.0</v>
      </c>
      <c r="C304" s="9" t="str">
        <f t="array" ref="C304">IFERROR(INDEX(Data!F:F, MATCH($E304, Data!$B:$B, 0)), "")</f>
        <v/>
      </c>
      <c r="D304" s="9" t="str">
        <f t="array" ref="D304">IFERROR(INDEX(Data!A:A, MATCH($E304, Data!$B:$B, 0)), "")</f>
        <v/>
      </c>
      <c r="E304" s="9" t="str">
        <f>LARGE(Data!$B$2:$B1000,A304 )</f>
        <v>#NUM!</v>
      </c>
      <c r="F304" s="9" t="str">
        <f t="array" ref="F304">IFERROR(INDEX(Data!C:C, MATCH($E304, Data!$B:$B, 0)), "")</f>
        <v/>
      </c>
      <c r="G304" s="9" t="str">
        <f t="array" ref="G304">IFERROR(INDEX(Data!D:D, MATCH($E304, Data!$B:$B, 0)), "")</f>
        <v/>
      </c>
      <c r="H304" s="9" t="str">
        <f t="array" ref="H304">IFERROR(INDEX(Data!E:E, MATCH($E304, Data!$B:$B, 0)), "")</f>
        <v/>
      </c>
      <c r="I304" s="9" t="str">
        <f t="shared" si="1"/>
        <v/>
      </c>
      <c r="J304" s="9" t="str">
        <f t="shared" si="2"/>
        <v>#REF!</v>
      </c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12">
        <v>303.0</v>
      </c>
      <c r="B305" s="13">
        <v>303.0</v>
      </c>
      <c r="C305" s="9" t="str">
        <f t="array" ref="C305">IFERROR(INDEX(Data!F:F, MATCH($E305, Data!$B:$B, 0)), "")</f>
        <v/>
      </c>
      <c r="D305" s="9" t="str">
        <f t="array" ref="D305">IFERROR(INDEX(Data!A:A, MATCH($E305, Data!$B:$B, 0)), "")</f>
        <v/>
      </c>
      <c r="E305" s="9" t="str">
        <f>LARGE(Data!$B$2:$B1000,A305 )</f>
        <v>#NUM!</v>
      </c>
      <c r="F305" s="9" t="str">
        <f t="array" ref="F305">IFERROR(INDEX(Data!C:C, MATCH($E305, Data!$B:$B, 0)), "")</f>
        <v/>
      </c>
      <c r="G305" s="9" t="str">
        <f t="array" ref="G305">IFERROR(INDEX(Data!D:D, MATCH($E305, Data!$B:$B, 0)), "")</f>
        <v/>
      </c>
      <c r="H305" s="9" t="str">
        <f t="array" ref="H305">IFERROR(INDEX(Data!E:E, MATCH($E305, Data!$B:$B, 0)), "")</f>
        <v/>
      </c>
      <c r="I305" s="9" t="str">
        <f t="shared" si="1"/>
        <v/>
      </c>
      <c r="J305" s="9" t="str">
        <f t="shared" si="2"/>
        <v>#REF!</v>
      </c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12">
        <v>304.0</v>
      </c>
      <c r="B306" s="13">
        <v>304.0</v>
      </c>
      <c r="C306" s="9" t="str">
        <f t="array" ref="C306">IFERROR(INDEX(Data!F:F, MATCH($E306, Data!$B:$B, 0)), "")</f>
        <v/>
      </c>
      <c r="D306" s="9" t="str">
        <f t="array" ref="D306">IFERROR(INDEX(Data!A:A, MATCH($E306, Data!$B:$B, 0)), "")</f>
        <v/>
      </c>
      <c r="E306" s="9" t="str">
        <f>LARGE(Data!$B$2:$B1000,A306 )</f>
        <v>#NUM!</v>
      </c>
      <c r="F306" s="9" t="str">
        <f t="array" ref="F306">IFERROR(INDEX(Data!C:C, MATCH($E306, Data!$B:$B, 0)), "")</f>
        <v/>
      </c>
      <c r="G306" s="9" t="str">
        <f t="array" ref="G306">IFERROR(INDEX(Data!D:D, MATCH($E306, Data!$B:$B, 0)), "")</f>
        <v/>
      </c>
      <c r="H306" s="9" t="str">
        <f t="array" ref="H306">IFERROR(INDEX(Data!E:E, MATCH($E306, Data!$B:$B, 0)), "")</f>
        <v/>
      </c>
      <c r="I306" s="9" t="str">
        <f t="shared" si="1"/>
        <v/>
      </c>
      <c r="J306" s="9" t="str">
        <f t="shared" si="2"/>
        <v>#REF!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12">
        <v>305.0</v>
      </c>
      <c r="B307" s="13">
        <v>305.0</v>
      </c>
      <c r="C307" s="9" t="str">
        <f t="array" ref="C307">IFERROR(INDEX(Data!F:F, MATCH($E307, Data!$B:$B, 0)), "")</f>
        <v/>
      </c>
      <c r="D307" s="9" t="str">
        <f t="array" ref="D307">IFERROR(INDEX(Data!A:A, MATCH($E307, Data!$B:$B, 0)), "")</f>
        <v/>
      </c>
      <c r="E307" s="9" t="str">
        <f>LARGE(Data!$B$2:$B1000,A307 )</f>
        <v>#NUM!</v>
      </c>
      <c r="F307" s="9" t="str">
        <f t="array" ref="F307">IFERROR(INDEX(Data!C:C, MATCH($E307, Data!$B:$B, 0)), "")</f>
        <v/>
      </c>
      <c r="G307" s="9" t="str">
        <f t="array" ref="G307">IFERROR(INDEX(Data!D:D, MATCH($E307, Data!$B:$B, 0)), "")</f>
        <v/>
      </c>
      <c r="H307" s="9" t="str">
        <f t="array" ref="H307">IFERROR(INDEX(Data!E:E, MATCH($E307, Data!$B:$B, 0)), "")</f>
        <v/>
      </c>
      <c r="I307" s="9" t="str">
        <f t="shared" si="1"/>
        <v/>
      </c>
      <c r="J307" s="9" t="str">
        <f t="shared" si="2"/>
        <v>#REF!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12">
        <v>306.0</v>
      </c>
      <c r="B308" s="13">
        <v>306.0</v>
      </c>
      <c r="C308" s="9" t="str">
        <f t="array" ref="C308">IFERROR(INDEX(Data!F:F, MATCH($E308, Data!$B:$B, 0)), "")</f>
        <v/>
      </c>
      <c r="D308" s="9" t="str">
        <f t="array" ref="D308">IFERROR(INDEX(Data!A:A, MATCH($E308, Data!$B:$B, 0)), "")</f>
        <v/>
      </c>
      <c r="E308" s="9" t="str">
        <f>LARGE(Data!$B$2:$B1000,A308 )</f>
        <v>#NUM!</v>
      </c>
      <c r="F308" s="9" t="str">
        <f t="array" ref="F308">IFERROR(INDEX(Data!C:C, MATCH($E308, Data!$B:$B, 0)), "")</f>
        <v/>
      </c>
      <c r="G308" s="9" t="str">
        <f t="array" ref="G308">IFERROR(INDEX(Data!D:D, MATCH($E308, Data!$B:$B, 0)), "")</f>
        <v/>
      </c>
      <c r="H308" s="9" t="str">
        <f t="array" ref="H308">IFERROR(INDEX(Data!E:E, MATCH($E308, Data!$B:$B, 0)), "")</f>
        <v/>
      </c>
      <c r="I308" s="9" t="str">
        <f t="shared" si="1"/>
        <v/>
      </c>
      <c r="J308" s="9" t="str">
        <f t="shared" si="2"/>
        <v>#REF!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12">
        <v>307.0</v>
      </c>
      <c r="B309" s="13">
        <v>307.0</v>
      </c>
      <c r="C309" s="9" t="str">
        <f t="array" ref="C309">IFERROR(INDEX(Data!F:F, MATCH($E309, Data!$B:$B, 0)), "")</f>
        <v/>
      </c>
      <c r="D309" s="9" t="str">
        <f t="array" ref="D309">IFERROR(INDEX(Data!A:A, MATCH($E309, Data!$B:$B, 0)), "")</f>
        <v/>
      </c>
      <c r="E309" s="9" t="str">
        <f>LARGE(Data!$B$2:$B1000,A309 )</f>
        <v>#NUM!</v>
      </c>
      <c r="F309" s="9" t="str">
        <f t="array" ref="F309">IFERROR(INDEX(Data!C:C, MATCH($E309, Data!$B:$B, 0)), "")</f>
        <v/>
      </c>
      <c r="G309" s="9" t="str">
        <f t="array" ref="G309">IFERROR(INDEX(Data!D:D, MATCH($E309, Data!$B:$B, 0)), "")</f>
        <v/>
      </c>
      <c r="H309" s="9" t="str">
        <f t="array" ref="H309">IFERROR(INDEX(Data!E:E, MATCH($E309, Data!$B:$B, 0)), "")</f>
        <v/>
      </c>
      <c r="I309" s="9" t="str">
        <f t="shared" si="1"/>
        <v/>
      </c>
      <c r="J309" s="9" t="str">
        <f t="shared" si="2"/>
        <v>#REF!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12">
        <v>308.0</v>
      </c>
      <c r="B310" s="13">
        <v>308.0</v>
      </c>
      <c r="C310" s="9" t="str">
        <f t="array" ref="C310">IFERROR(INDEX(Data!F:F, MATCH($E310, Data!$B:$B, 0)), "")</f>
        <v/>
      </c>
      <c r="D310" s="9" t="str">
        <f t="array" ref="D310">IFERROR(INDEX(Data!A:A, MATCH($E310, Data!$B:$B, 0)), "")</f>
        <v/>
      </c>
      <c r="E310" s="9" t="str">
        <f>LARGE(Data!$B$2:$B1000,A310 )</f>
        <v>#NUM!</v>
      </c>
      <c r="F310" s="9" t="str">
        <f t="array" ref="F310">IFERROR(INDEX(Data!C:C, MATCH($E310, Data!$B:$B, 0)), "")</f>
        <v/>
      </c>
      <c r="G310" s="9" t="str">
        <f t="array" ref="G310">IFERROR(INDEX(Data!D:D, MATCH($E310, Data!$B:$B, 0)), "")</f>
        <v/>
      </c>
      <c r="H310" s="9" t="str">
        <f t="array" ref="H310">IFERROR(INDEX(Data!E:E, MATCH($E310, Data!$B:$B, 0)), "")</f>
        <v/>
      </c>
      <c r="I310" s="9" t="str">
        <f t="shared" si="1"/>
        <v/>
      </c>
      <c r="J310" s="9" t="str">
        <f t="shared" si="2"/>
        <v>#REF!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12">
        <v>309.0</v>
      </c>
      <c r="B311" s="13">
        <v>309.0</v>
      </c>
      <c r="C311" s="9" t="str">
        <f t="array" ref="C311">IFERROR(INDEX(Data!F:F, MATCH($E311, Data!$B:$B, 0)), "")</f>
        <v/>
      </c>
      <c r="D311" s="9" t="str">
        <f t="array" ref="D311">IFERROR(INDEX(Data!A:A, MATCH($E311, Data!$B:$B, 0)), "")</f>
        <v/>
      </c>
      <c r="E311" s="9" t="str">
        <f>LARGE(Data!$B$2:$B1000,A311 )</f>
        <v>#NUM!</v>
      </c>
      <c r="F311" s="9" t="str">
        <f t="array" ref="F311">IFERROR(INDEX(Data!C:C, MATCH($E311, Data!$B:$B, 0)), "")</f>
        <v/>
      </c>
      <c r="G311" s="9" t="str">
        <f t="array" ref="G311">IFERROR(INDEX(Data!D:D, MATCH($E311, Data!$B:$B, 0)), "")</f>
        <v/>
      </c>
      <c r="H311" s="9" t="str">
        <f t="array" ref="H311">IFERROR(INDEX(Data!E:E, MATCH($E311, Data!$B:$B, 0)), "")</f>
        <v/>
      </c>
      <c r="I311" s="9" t="str">
        <f t="shared" si="1"/>
        <v/>
      </c>
      <c r="J311" s="9" t="str">
        <f t="shared" si="2"/>
        <v>#REF!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12">
        <v>310.0</v>
      </c>
      <c r="B312" s="13">
        <v>310.0</v>
      </c>
      <c r="C312" s="9" t="str">
        <f t="array" ref="C312">IFERROR(INDEX(Data!F:F, MATCH($E312, Data!$B:$B, 0)), "")</f>
        <v/>
      </c>
      <c r="D312" s="9" t="str">
        <f t="array" ref="D312">IFERROR(INDEX(Data!A:A, MATCH($E312, Data!$B:$B, 0)), "")</f>
        <v/>
      </c>
      <c r="E312" s="9" t="str">
        <f>LARGE(Data!$B$2:$B1000,A312 )</f>
        <v>#NUM!</v>
      </c>
      <c r="F312" s="9" t="str">
        <f t="array" ref="F312">IFERROR(INDEX(Data!C:C, MATCH($E312, Data!$B:$B, 0)), "")</f>
        <v/>
      </c>
      <c r="G312" s="9" t="str">
        <f t="array" ref="G312">IFERROR(INDEX(Data!D:D, MATCH($E312, Data!$B:$B, 0)), "")</f>
        <v/>
      </c>
      <c r="H312" s="9" t="str">
        <f t="array" ref="H312">IFERROR(INDEX(Data!E:E, MATCH($E312, Data!$B:$B, 0)), "")</f>
        <v/>
      </c>
      <c r="I312" s="9" t="str">
        <f t="shared" si="1"/>
        <v/>
      </c>
      <c r="J312" s="9" t="str">
        <f t="shared" si="2"/>
        <v>#REF!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12">
        <v>311.0</v>
      </c>
      <c r="B313" s="13">
        <v>311.0</v>
      </c>
      <c r="C313" s="9" t="str">
        <f t="array" ref="C313">IFERROR(INDEX(Data!F:F, MATCH($E313, Data!$B:$B, 0)), "")</f>
        <v/>
      </c>
      <c r="D313" s="9" t="str">
        <f t="array" ref="D313">IFERROR(INDEX(Data!A:A, MATCH($E313, Data!$B:$B, 0)), "")</f>
        <v/>
      </c>
      <c r="E313" s="9" t="str">
        <f>LARGE(Data!$B$2:$B1000,A313 )</f>
        <v>#NUM!</v>
      </c>
      <c r="F313" s="9" t="str">
        <f t="array" ref="F313">IFERROR(INDEX(Data!C:C, MATCH($E313, Data!$B:$B, 0)), "")</f>
        <v/>
      </c>
      <c r="G313" s="9" t="str">
        <f t="array" ref="G313">IFERROR(INDEX(Data!D:D, MATCH($E313, Data!$B:$B, 0)), "")</f>
        <v/>
      </c>
      <c r="H313" s="9" t="str">
        <f t="array" ref="H313">IFERROR(INDEX(Data!E:E, MATCH($E313, Data!$B:$B, 0)), "")</f>
        <v/>
      </c>
      <c r="I313" s="9" t="str">
        <f t="shared" si="1"/>
        <v/>
      </c>
      <c r="J313" s="9" t="str">
        <f t="shared" si="2"/>
        <v>#REF!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12">
        <v>312.0</v>
      </c>
      <c r="B314" s="13">
        <v>312.0</v>
      </c>
      <c r="C314" s="9" t="str">
        <f t="array" ref="C314">IFERROR(INDEX(Data!F:F, MATCH($E314, Data!$B:$B, 0)), "")</f>
        <v/>
      </c>
      <c r="D314" s="9" t="str">
        <f t="array" ref="D314">IFERROR(INDEX(Data!A:A, MATCH($E314, Data!$B:$B, 0)), "")</f>
        <v/>
      </c>
      <c r="E314" s="9" t="str">
        <f>LARGE(Data!$B$2:$B1000,A314 )</f>
        <v>#NUM!</v>
      </c>
      <c r="F314" s="9" t="str">
        <f t="array" ref="F314">IFERROR(INDEX(Data!C:C, MATCH($E314, Data!$B:$B, 0)), "")</f>
        <v/>
      </c>
      <c r="G314" s="9" t="str">
        <f t="array" ref="G314">IFERROR(INDEX(Data!D:D, MATCH($E314, Data!$B:$B, 0)), "")</f>
        <v/>
      </c>
      <c r="H314" s="9" t="str">
        <f t="array" ref="H314">IFERROR(INDEX(Data!E:E, MATCH($E314, Data!$B:$B, 0)), "")</f>
        <v/>
      </c>
      <c r="I314" s="9" t="str">
        <f t="shared" si="1"/>
        <v/>
      </c>
      <c r="J314" s="9" t="str">
        <f t="shared" si="2"/>
        <v>#REF!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12">
        <v>313.0</v>
      </c>
      <c r="B315" s="13">
        <v>313.0</v>
      </c>
      <c r="C315" s="9" t="str">
        <f t="array" ref="C315">IFERROR(INDEX(Data!F:F, MATCH($E315, Data!$B:$B, 0)), "")</f>
        <v/>
      </c>
      <c r="D315" s="9" t="str">
        <f t="array" ref="D315">IFERROR(INDEX(Data!A:A, MATCH($E315, Data!$B:$B, 0)), "")</f>
        <v/>
      </c>
      <c r="E315" s="9" t="str">
        <f>LARGE(Data!$B$2:$B1000,A315 )</f>
        <v>#NUM!</v>
      </c>
      <c r="F315" s="9" t="str">
        <f t="array" ref="F315">IFERROR(INDEX(Data!C:C, MATCH($E315, Data!$B:$B, 0)), "")</f>
        <v/>
      </c>
      <c r="G315" s="9" t="str">
        <f t="array" ref="G315">IFERROR(INDEX(Data!D:D, MATCH($E315, Data!$B:$B, 0)), "")</f>
        <v/>
      </c>
      <c r="H315" s="9" t="str">
        <f t="array" ref="H315">IFERROR(INDEX(Data!E:E, MATCH($E315, Data!$B:$B, 0)), "")</f>
        <v/>
      </c>
      <c r="I315" s="9" t="str">
        <f t="shared" si="1"/>
        <v/>
      </c>
      <c r="J315" s="9" t="str">
        <f t="shared" si="2"/>
        <v>#REF!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12">
        <v>314.0</v>
      </c>
      <c r="B316" s="13">
        <v>314.0</v>
      </c>
      <c r="C316" s="9" t="str">
        <f t="array" ref="C316">IFERROR(INDEX(Data!F:F, MATCH($E316, Data!$B:$B, 0)), "")</f>
        <v/>
      </c>
      <c r="D316" s="9" t="str">
        <f t="array" ref="D316">IFERROR(INDEX(Data!A:A, MATCH($E316, Data!$B:$B, 0)), "")</f>
        <v/>
      </c>
      <c r="E316" s="9" t="str">
        <f>LARGE(Data!$B$2:$B1000,A316 )</f>
        <v>#NUM!</v>
      </c>
      <c r="F316" s="9" t="str">
        <f t="array" ref="F316">IFERROR(INDEX(Data!C:C, MATCH($E316, Data!$B:$B, 0)), "")</f>
        <v/>
      </c>
      <c r="G316" s="9" t="str">
        <f t="array" ref="G316">IFERROR(INDEX(Data!D:D, MATCH($E316, Data!$B:$B, 0)), "")</f>
        <v/>
      </c>
      <c r="H316" s="9" t="str">
        <f t="array" ref="H316">IFERROR(INDEX(Data!E:E, MATCH($E316, Data!$B:$B, 0)), "")</f>
        <v/>
      </c>
      <c r="I316" s="9" t="str">
        <f t="shared" si="1"/>
        <v/>
      </c>
      <c r="J316" s="9" t="str">
        <f t="shared" si="2"/>
        <v>#REF!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12">
        <v>315.0</v>
      </c>
      <c r="B317" s="13">
        <v>315.0</v>
      </c>
      <c r="C317" s="9" t="str">
        <f t="array" ref="C317">IFERROR(INDEX(Data!F:F, MATCH($E317, Data!$B:$B, 0)), "")</f>
        <v/>
      </c>
      <c r="D317" s="9" t="str">
        <f t="array" ref="D317">IFERROR(INDEX(Data!A:A, MATCH($E317, Data!$B:$B, 0)), "")</f>
        <v/>
      </c>
      <c r="E317" s="9" t="str">
        <f>LARGE(Data!$B$2:$B1000,A317 )</f>
        <v>#NUM!</v>
      </c>
      <c r="F317" s="9" t="str">
        <f t="array" ref="F317">IFERROR(INDEX(Data!C:C, MATCH($E317, Data!$B:$B, 0)), "")</f>
        <v/>
      </c>
      <c r="G317" s="9" t="str">
        <f t="array" ref="G317">IFERROR(INDEX(Data!D:D, MATCH($E317, Data!$B:$B, 0)), "")</f>
        <v/>
      </c>
      <c r="H317" s="9" t="str">
        <f t="array" ref="H317">IFERROR(INDEX(Data!E:E, MATCH($E317, Data!$B:$B, 0)), "")</f>
        <v/>
      </c>
      <c r="I317" s="9" t="str">
        <f t="shared" si="1"/>
        <v/>
      </c>
      <c r="J317" s="9" t="str">
        <f t="shared" si="2"/>
        <v>#REF!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12">
        <v>316.0</v>
      </c>
      <c r="B318" s="13">
        <v>316.0</v>
      </c>
      <c r="C318" s="9" t="str">
        <f t="array" ref="C318">IFERROR(INDEX(Data!F:F, MATCH($E318, Data!$B:$B, 0)), "")</f>
        <v/>
      </c>
      <c r="D318" s="9" t="str">
        <f t="array" ref="D318">IFERROR(INDEX(Data!A:A, MATCH($E318, Data!$B:$B, 0)), "")</f>
        <v/>
      </c>
      <c r="E318" s="9" t="str">
        <f>LARGE(Data!$B$2:$B1000,A318 )</f>
        <v>#NUM!</v>
      </c>
      <c r="F318" s="9" t="str">
        <f t="array" ref="F318">IFERROR(INDEX(Data!C:C, MATCH($E318, Data!$B:$B, 0)), "")</f>
        <v/>
      </c>
      <c r="G318" s="9" t="str">
        <f t="array" ref="G318">IFERROR(INDEX(Data!D:D, MATCH($E318, Data!$B:$B, 0)), "")</f>
        <v/>
      </c>
      <c r="H318" s="9" t="str">
        <f t="array" ref="H318">IFERROR(INDEX(Data!E:E, MATCH($E318, Data!$B:$B, 0)), "")</f>
        <v/>
      </c>
      <c r="I318" s="9" t="str">
        <f t="shared" si="1"/>
        <v/>
      </c>
      <c r="J318" s="9" t="str">
        <f t="shared" si="2"/>
        <v>#REF!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12">
        <v>317.0</v>
      </c>
      <c r="B319" s="13">
        <v>317.0</v>
      </c>
      <c r="C319" s="9" t="str">
        <f t="array" ref="C319">IFERROR(INDEX(Data!F:F, MATCH($E319, Data!$B:$B, 0)), "")</f>
        <v/>
      </c>
      <c r="D319" s="9" t="str">
        <f t="array" ref="D319">IFERROR(INDEX(Data!A:A, MATCH($E319, Data!$B:$B, 0)), "")</f>
        <v/>
      </c>
      <c r="E319" s="9" t="str">
        <f>LARGE(Data!$B$2:$B1000,A319 )</f>
        <v>#NUM!</v>
      </c>
      <c r="F319" s="9" t="str">
        <f t="array" ref="F319">IFERROR(INDEX(Data!C:C, MATCH($E319, Data!$B:$B, 0)), "")</f>
        <v/>
      </c>
      <c r="G319" s="9" t="str">
        <f t="array" ref="G319">IFERROR(INDEX(Data!D:D, MATCH($E319, Data!$B:$B, 0)), "")</f>
        <v/>
      </c>
      <c r="H319" s="9" t="str">
        <f t="array" ref="H319">IFERROR(INDEX(Data!E:E, MATCH($E319, Data!$B:$B, 0)), "")</f>
        <v/>
      </c>
      <c r="I319" s="9" t="str">
        <f t="shared" si="1"/>
        <v/>
      </c>
      <c r="J319" s="9" t="str">
        <f t="shared" si="2"/>
        <v>#REF!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12">
        <v>318.0</v>
      </c>
      <c r="B320" s="13">
        <v>318.0</v>
      </c>
      <c r="C320" s="9" t="str">
        <f t="array" ref="C320">IFERROR(INDEX(Data!F:F, MATCH($E320, Data!$B:$B, 0)), "")</f>
        <v/>
      </c>
      <c r="D320" s="9" t="str">
        <f t="array" ref="D320">IFERROR(INDEX(Data!A:A, MATCH($E320, Data!$B:$B, 0)), "")</f>
        <v/>
      </c>
      <c r="E320" s="9" t="str">
        <f>LARGE(Data!$B$2:$B1000,A320 )</f>
        <v>#NUM!</v>
      </c>
      <c r="F320" s="9" t="str">
        <f t="array" ref="F320">IFERROR(INDEX(Data!C:C, MATCH($E320, Data!$B:$B, 0)), "")</f>
        <v/>
      </c>
      <c r="G320" s="9" t="str">
        <f t="array" ref="G320">IFERROR(INDEX(Data!D:D, MATCH($E320, Data!$B:$B, 0)), "")</f>
        <v/>
      </c>
      <c r="H320" s="9" t="str">
        <f t="array" ref="H320">IFERROR(INDEX(Data!E:E, MATCH($E320, Data!$B:$B, 0)), "")</f>
        <v/>
      </c>
      <c r="I320" s="9" t="str">
        <f t="shared" si="1"/>
        <v/>
      </c>
      <c r="J320" s="9" t="str">
        <f t="shared" si="2"/>
        <v>#REF!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12">
        <v>319.0</v>
      </c>
      <c r="B321" s="13">
        <v>319.0</v>
      </c>
      <c r="C321" s="9" t="str">
        <f t="array" ref="C321">IFERROR(INDEX(Data!F:F, MATCH($E321, Data!$B:$B, 0)), "")</f>
        <v/>
      </c>
      <c r="D321" s="9" t="str">
        <f t="array" ref="D321">IFERROR(INDEX(Data!A:A, MATCH($E321, Data!$B:$B, 0)), "")</f>
        <v/>
      </c>
      <c r="E321" s="9" t="str">
        <f>LARGE(Data!$B$2:$B1000,A321 )</f>
        <v>#NUM!</v>
      </c>
      <c r="F321" s="9" t="str">
        <f t="array" ref="F321">IFERROR(INDEX(Data!C:C, MATCH($E321, Data!$B:$B, 0)), "")</f>
        <v/>
      </c>
      <c r="G321" s="9" t="str">
        <f t="array" ref="G321">IFERROR(INDEX(Data!D:D, MATCH($E321, Data!$B:$B, 0)), "")</f>
        <v/>
      </c>
      <c r="H321" s="9" t="str">
        <f t="array" ref="H321">IFERROR(INDEX(Data!E:E, MATCH($E321, Data!$B:$B, 0)), "")</f>
        <v/>
      </c>
      <c r="I321" s="9" t="str">
        <f t="shared" si="1"/>
        <v/>
      </c>
      <c r="J321" s="9" t="str">
        <f t="shared" si="2"/>
        <v>#REF!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12">
        <v>320.0</v>
      </c>
      <c r="B322" s="13">
        <v>320.0</v>
      </c>
      <c r="C322" s="9" t="str">
        <f t="array" ref="C322">IFERROR(INDEX(Data!F:F, MATCH($E322, Data!$B:$B, 0)), "")</f>
        <v/>
      </c>
      <c r="D322" s="9" t="str">
        <f t="array" ref="D322">IFERROR(INDEX(Data!A:A, MATCH($E322, Data!$B:$B, 0)), "")</f>
        <v/>
      </c>
      <c r="E322" s="9" t="str">
        <f>LARGE(Data!$B$2:$B1000,A322 )</f>
        <v>#NUM!</v>
      </c>
      <c r="F322" s="9" t="str">
        <f t="array" ref="F322">IFERROR(INDEX(Data!C:C, MATCH($E322, Data!$B:$B, 0)), "")</f>
        <v/>
      </c>
      <c r="G322" s="9" t="str">
        <f t="array" ref="G322">IFERROR(INDEX(Data!D:D, MATCH($E322, Data!$B:$B, 0)), "")</f>
        <v/>
      </c>
      <c r="H322" s="9" t="str">
        <f t="array" ref="H322">IFERROR(INDEX(Data!E:E, MATCH($E322, Data!$B:$B, 0)), "")</f>
        <v/>
      </c>
      <c r="I322" s="9" t="str">
        <f t="shared" si="1"/>
        <v/>
      </c>
      <c r="J322" s="9" t="str">
        <f t="shared" si="2"/>
        <v>#REF!</v>
      </c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12">
        <v>321.0</v>
      </c>
      <c r="B323" s="13">
        <v>321.0</v>
      </c>
      <c r="C323" s="9" t="str">
        <f t="array" ref="C323">IFERROR(INDEX(Data!F:F, MATCH($E323, Data!$B:$B, 0)), "")</f>
        <v/>
      </c>
      <c r="D323" s="9" t="str">
        <f t="array" ref="D323">IFERROR(INDEX(Data!A:A, MATCH($E323, Data!$B:$B, 0)), "")</f>
        <v/>
      </c>
      <c r="E323" s="9" t="str">
        <f>LARGE(Data!$B$2:$B1000,A323 )</f>
        <v>#NUM!</v>
      </c>
      <c r="F323" s="9" t="str">
        <f t="array" ref="F323">IFERROR(INDEX(Data!C:C, MATCH($E323, Data!$B:$B, 0)), "")</f>
        <v/>
      </c>
      <c r="G323" s="9" t="str">
        <f t="array" ref="G323">IFERROR(INDEX(Data!D:D, MATCH($E323, Data!$B:$B, 0)), "")</f>
        <v/>
      </c>
      <c r="H323" s="9" t="str">
        <f t="array" ref="H323">IFERROR(INDEX(Data!E:E, MATCH($E323, Data!$B:$B, 0)), "")</f>
        <v/>
      </c>
      <c r="I323" s="9" t="str">
        <f t="shared" si="1"/>
        <v/>
      </c>
      <c r="J323" s="9" t="str">
        <f t="shared" si="2"/>
        <v>#REF!</v>
      </c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12">
        <v>322.0</v>
      </c>
      <c r="B324" s="13">
        <v>322.0</v>
      </c>
      <c r="C324" s="9" t="str">
        <f t="array" ref="C324">IFERROR(INDEX(Data!F:F, MATCH($E324, Data!$B:$B, 0)), "")</f>
        <v/>
      </c>
      <c r="D324" s="9" t="str">
        <f t="array" ref="D324">IFERROR(INDEX(Data!A:A, MATCH($E324, Data!$B:$B, 0)), "")</f>
        <v/>
      </c>
      <c r="E324" s="9" t="str">
        <f>LARGE(Data!$B$2:$B1000,A324 )</f>
        <v>#NUM!</v>
      </c>
      <c r="F324" s="9" t="str">
        <f t="array" ref="F324">IFERROR(INDEX(Data!C:C, MATCH($E324, Data!$B:$B, 0)), "")</f>
        <v/>
      </c>
      <c r="G324" s="9" t="str">
        <f t="array" ref="G324">IFERROR(INDEX(Data!D:D, MATCH($E324, Data!$B:$B, 0)), "")</f>
        <v/>
      </c>
      <c r="H324" s="9" t="str">
        <f t="array" ref="H324">IFERROR(INDEX(Data!E:E, MATCH($E324, Data!$B:$B, 0)), "")</f>
        <v/>
      </c>
      <c r="I324" s="9" t="str">
        <f t="shared" si="1"/>
        <v/>
      </c>
      <c r="J324" s="9" t="str">
        <f t="shared" si="2"/>
        <v>#REF!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12">
        <v>323.0</v>
      </c>
      <c r="B325" s="13">
        <v>323.0</v>
      </c>
      <c r="C325" s="9" t="str">
        <f t="array" ref="C325">IFERROR(INDEX(Data!F:F, MATCH($E325, Data!$B:$B, 0)), "")</f>
        <v/>
      </c>
      <c r="D325" s="9" t="str">
        <f t="array" ref="D325">IFERROR(INDEX(Data!A:A, MATCH($E325, Data!$B:$B, 0)), "")</f>
        <v/>
      </c>
      <c r="E325" s="9" t="str">
        <f>LARGE(Data!$B$2:$B1000,A325 )</f>
        <v>#NUM!</v>
      </c>
      <c r="F325" s="9" t="str">
        <f t="array" ref="F325">IFERROR(INDEX(Data!C:C, MATCH($E325, Data!$B:$B, 0)), "")</f>
        <v/>
      </c>
      <c r="G325" s="9" t="str">
        <f t="array" ref="G325">IFERROR(INDEX(Data!D:D, MATCH($E325, Data!$B:$B, 0)), "")</f>
        <v/>
      </c>
      <c r="H325" s="9" t="str">
        <f t="array" ref="H325">IFERROR(INDEX(Data!E:E, MATCH($E325, Data!$B:$B, 0)), "")</f>
        <v/>
      </c>
      <c r="I325" s="9" t="str">
        <f t="shared" si="1"/>
        <v/>
      </c>
      <c r="J325" s="9" t="str">
        <f t="shared" si="2"/>
        <v>#REF!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12">
        <v>324.0</v>
      </c>
      <c r="B326" s="13">
        <v>324.0</v>
      </c>
      <c r="C326" s="9" t="str">
        <f t="array" ref="C326">IFERROR(INDEX(Data!F:F, MATCH($E326, Data!$B:$B, 0)), "")</f>
        <v/>
      </c>
      <c r="D326" s="9" t="str">
        <f t="array" ref="D326">IFERROR(INDEX(Data!A:A, MATCH($E326, Data!$B:$B, 0)), "")</f>
        <v/>
      </c>
      <c r="E326" s="9" t="str">
        <f>LARGE(Data!$B$2:$B1000,A326 )</f>
        <v>#NUM!</v>
      </c>
      <c r="F326" s="9" t="str">
        <f t="array" ref="F326">IFERROR(INDEX(Data!C:C, MATCH($E326, Data!$B:$B, 0)), "")</f>
        <v/>
      </c>
      <c r="G326" s="9" t="str">
        <f t="array" ref="G326">IFERROR(INDEX(Data!D:D, MATCH($E326, Data!$B:$B, 0)), "")</f>
        <v/>
      </c>
      <c r="H326" s="9" t="str">
        <f t="array" ref="H326">IFERROR(INDEX(Data!E:E, MATCH($E326, Data!$B:$B, 0)), "")</f>
        <v/>
      </c>
      <c r="I326" s="9" t="str">
        <f t="shared" si="1"/>
        <v/>
      </c>
      <c r="J326" s="9" t="str">
        <f t="shared" si="2"/>
        <v>#REF!</v>
      </c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12">
        <v>325.0</v>
      </c>
      <c r="B327" s="13">
        <v>325.0</v>
      </c>
      <c r="C327" s="9" t="str">
        <f t="array" ref="C327">IFERROR(INDEX(Data!F:F, MATCH($E327, Data!$B:$B, 0)), "")</f>
        <v/>
      </c>
      <c r="D327" s="9" t="str">
        <f t="array" ref="D327">IFERROR(INDEX(Data!A:A, MATCH($E327, Data!$B:$B, 0)), "")</f>
        <v/>
      </c>
      <c r="E327" s="9" t="str">
        <f>LARGE(Data!$B$2:$B1000,A327 )</f>
        <v>#NUM!</v>
      </c>
      <c r="F327" s="9" t="str">
        <f t="array" ref="F327">IFERROR(INDEX(Data!C:C, MATCH($E327, Data!$B:$B, 0)), "")</f>
        <v/>
      </c>
      <c r="G327" s="9" t="str">
        <f t="array" ref="G327">IFERROR(INDEX(Data!D:D, MATCH($E327, Data!$B:$B, 0)), "")</f>
        <v/>
      </c>
      <c r="H327" s="9" t="str">
        <f t="array" ref="H327">IFERROR(INDEX(Data!E:E, MATCH($E327, Data!$B:$B, 0)), "")</f>
        <v/>
      </c>
      <c r="I327" s="9" t="str">
        <f t="shared" si="1"/>
        <v/>
      </c>
      <c r="J327" s="9" t="str">
        <f t="shared" si="2"/>
        <v>#REF!</v>
      </c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12">
        <v>326.0</v>
      </c>
      <c r="B328" s="13">
        <v>326.0</v>
      </c>
      <c r="C328" s="9" t="str">
        <f t="array" ref="C328">IFERROR(INDEX(Data!F:F, MATCH($E328, Data!$B:$B, 0)), "")</f>
        <v/>
      </c>
      <c r="D328" s="9" t="str">
        <f t="array" ref="D328">IFERROR(INDEX(Data!A:A, MATCH($E328, Data!$B:$B, 0)), "")</f>
        <v/>
      </c>
      <c r="E328" s="9" t="str">
        <f>LARGE(Data!$B$2:$B1000,A328 )</f>
        <v>#NUM!</v>
      </c>
      <c r="F328" s="9" t="str">
        <f t="array" ref="F328">IFERROR(INDEX(Data!C:C, MATCH($E328, Data!$B:$B, 0)), "")</f>
        <v/>
      </c>
      <c r="G328" s="9" t="str">
        <f t="array" ref="G328">IFERROR(INDEX(Data!D:D, MATCH($E328, Data!$B:$B, 0)), "")</f>
        <v/>
      </c>
      <c r="H328" s="9" t="str">
        <f t="array" ref="H328">IFERROR(INDEX(Data!E:E, MATCH($E328, Data!$B:$B, 0)), "")</f>
        <v/>
      </c>
      <c r="I328" s="9" t="str">
        <f t="shared" si="1"/>
        <v/>
      </c>
      <c r="J328" s="9" t="str">
        <f t="shared" si="2"/>
        <v>#REF!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12">
        <v>327.0</v>
      </c>
      <c r="B329" s="13">
        <v>327.0</v>
      </c>
      <c r="C329" s="9" t="str">
        <f t="array" ref="C329">IFERROR(INDEX(Data!F:F, MATCH($E329, Data!$B:$B, 0)), "")</f>
        <v/>
      </c>
      <c r="D329" s="9" t="str">
        <f t="array" ref="D329">IFERROR(INDEX(Data!A:A, MATCH($E329, Data!$B:$B, 0)), "")</f>
        <v/>
      </c>
      <c r="E329" s="9" t="str">
        <f>LARGE(Data!$B$2:$B1000,A329 )</f>
        <v>#NUM!</v>
      </c>
      <c r="F329" s="9" t="str">
        <f t="array" ref="F329">IFERROR(INDEX(Data!C:C, MATCH($E329, Data!$B:$B, 0)), "")</f>
        <v/>
      </c>
      <c r="G329" s="9" t="str">
        <f t="array" ref="G329">IFERROR(INDEX(Data!D:D, MATCH($E329, Data!$B:$B, 0)), "")</f>
        <v/>
      </c>
      <c r="H329" s="9" t="str">
        <f t="array" ref="H329">IFERROR(INDEX(Data!E:E, MATCH($E329, Data!$B:$B, 0)), "")</f>
        <v/>
      </c>
      <c r="I329" s="9" t="str">
        <f t="shared" si="1"/>
        <v/>
      </c>
      <c r="J329" s="9" t="str">
        <f t="shared" si="2"/>
        <v>#REF!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12">
        <v>328.0</v>
      </c>
      <c r="B330" s="13">
        <v>328.0</v>
      </c>
      <c r="C330" s="9" t="str">
        <f t="array" ref="C330">IFERROR(INDEX(Data!F:F, MATCH($E330, Data!$B:$B, 0)), "")</f>
        <v/>
      </c>
      <c r="D330" s="9" t="str">
        <f t="array" ref="D330">IFERROR(INDEX(Data!A:A, MATCH($E330, Data!$B:$B, 0)), "")</f>
        <v/>
      </c>
      <c r="E330" s="9" t="str">
        <f>LARGE(Data!$B$2:$B1000,A330 )</f>
        <v>#NUM!</v>
      </c>
      <c r="F330" s="9" t="str">
        <f t="array" ref="F330">IFERROR(INDEX(Data!C:C, MATCH($E330, Data!$B:$B, 0)), "")</f>
        <v/>
      </c>
      <c r="G330" s="9" t="str">
        <f t="array" ref="G330">IFERROR(INDEX(Data!D:D, MATCH($E330, Data!$B:$B, 0)), "")</f>
        <v/>
      </c>
      <c r="H330" s="9" t="str">
        <f t="array" ref="H330">IFERROR(INDEX(Data!E:E, MATCH($E330, Data!$B:$B, 0)), "")</f>
        <v/>
      </c>
      <c r="I330" s="9" t="str">
        <f t="shared" si="1"/>
        <v/>
      </c>
      <c r="J330" s="9" t="str">
        <f t="shared" si="2"/>
        <v>#REF!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12">
        <v>329.0</v>
      </c>
      <c r="B331" s="13">
        <v>329.0</v>
      </c>
      <c r="C331" s="9" t="str">
        <f t="array" ref="C331">IFERROR(INDEX(Data!F:F, MATCH($E331, Data!$B:$B, 0)), "")</f>
        <v/>
      </c>
      <c r="D331" s="9" t="str">
        <f t="array" ref="D331">IFERROR(INDEX(Data!A:A, MATCH($E331, Data!$B:$B, 0)), "")</f>
        <v/>
      </c>
      <c r="E331" s="9" t="str">
        <f>LARGE(Data!$B$2:$B1000,A331 )</f>
        <v>#NUM!</v>
      </c>
      <c r="F331" s="9" t="str">
        <f t="array" ref="F331">IFERROR(INDEX(Data!C:C, MATCH($E331, Data!$B:$B, 0)), "")</f>
        <v/>
      </c>
      <c r="G331" s="9" t="str">
        <f t="array" ref="G331">IFERROR(INDEX(Data!D:D, MATCH($E331, Data!$B:$B, 0)), "")</f>
        <v/>
      </c>
      <c r="H331" s="9" t="str">
        <f t="array" ref="H331">IFERROR(INDEX(Data!E:E, MATCH($E331, Data!$B:$B, 0)), "")</f>
        <v/>
      </c>
      <c r="I331" s="9" t="str">
        <f t="shared" si="1"/>
        <v/>
      </c>
      <c r="J331" s="9" t="str">
        <f t="shared" si="2"/>
        <v>#REF!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12">
        <v>330.0</v>
      </c>
      <c r="B332" s="13">
        <v>330.0</v>
      </c>
      <c r="C332" s="9" t="str">
        <f t="array" ref="C332">IFERROR(INDEX(Data!F:F, MATCH($E332, Data!$B:$B, 0)), "")</f>
        <v/>
      </c>
      <c r="D332" s="9" t="str">
        <f t="array" ref="D332">IFERROR(INDEX(Data!A:A, MATCH($E332, Data!$B:$B, 0)), "")</f>
        <v/>
      </c>
      <c r="E332" s="9" t="str">
        <f>LARGE(Data!$B$2:$B1000,A332 )</f>
        <v>#NUM!</v>
      </c>
      <c r="F332" s="9" t="str">
        <f t="array" ref="F332">IFERROR(INDEX(Data!C:C, MATCH($E332, Data!$B:$B, 0)), "")</f>
        <v/>
      </c>
      <c r="G332" s="9" t="str">
        <f t="array" ref="G332">IFERROR(INDEX(Data!D:D, MATCH($E332, Data!$B:$B, 0)), "")</f>
        <v/>
      </c>
      <c r="H332" s="9" t="str">
        <f t="array" ref="H332">IFERROR(INDEX(Data!E:E, MATCH($E332, Data!$B:$B, 0)), "")</f>
        <v/>
      </c>
      <c r="I332" s="9" t="str">
        <f t="shared" si="1"/>
        <v/>
      </c>
      <c r="J332" s="9" t="str">
        <f t="shared" si="2"/>
        <v>#REF!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12">
        <v>331.0</v>
      </c>
      <c r="B333" s="13">
        <v>331.0</v>
      </c>
      <c r="C333" s="9" t="str">
        <f t="array" ref="C333">IFERROR(INDEX(Data!F:F, MATCH($E333, Data!$B:$B, 0)), "")</f>
        <v/>
      </c>
      <c r="D333" s="9" t="str">
        <f t="array" ref="D333">IFERROR(INDEX(Data!A:A, MATCH($E333, Data!$B:$B, 0)), "")</f>
        <v/>
      </c>
      <c r="E333" s="9" t="str">
        <f>LARGE(Data!$B$2:$B1000,A333 )</f>
        <v>#NUM!</v>
      </c>
      <c r="F333" s="9" t="str">
        <f t="array" ref="F333">IFERROR(INDEX(Data!C:C, MATCH($E333, Data!$B:$B, 0)), "")</f>
        <v/>
      </c>
      <c r="G333" s="9" t="str">
        <f t="array" ref="G333">IFERROR(INDEX(Data!D:D, MATCH($E333, Data!$B:$B, 0)), "")</f>
        <v/>
      </c>
      <c r="H333" s="9" t="str">
        <f t="array" ref="H333">IFERROR(INDEX(Data!E:E, MATCH($E333, Data!$B:$B, 0)), "")</f>
        <v/>
      </c>
      <c r="I333" s="9" t="str">
        <f t="shared" si="1"/>
        <v/>
      </c>
      <c r="J333" s="9" t="str">
        <f t="shared" si="2"/>
        <v>#REF!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12">
        <v>332.0</v>
      </c>
      <c r="B334" s="13">
        <v>332.0</v>
      </c>
      <c r="C334" s="9" t="str">
        <f t="array" ref="C334">IFERROR(INDEX(Data!F:F, MATCH($E334, Data!$B:$B, 0)), "")</f>
        <v/>
      </c>
      <c r="D334" s="9" t="str">
        <f t="array" ref="D334">IFERROR(INDEX(Data!A:A, MATCH($E334, Data!$B:$B, 0)), "")</f>
        <v/>
      </c>
      <c r="E334" s="9" t="str">
        <f>LARGE(Data!$B$2:$B1000,A334 )</f>
        <v>#NUM!</v>
      </c>
      <c r="F334" s="9" t="str">
        <f t="array" ref="F334">IFERROR(INDEX(Data!C:C, MATCH($E334, Data!$B:$B, 0)), "")</f>
        <v/>
      </c>
      <c r="G334" s="9" t="str">
        <f t="array" ref="G334">IFERROR(INDEX(Data!D:D, MATCH($E334, Data!$B:$B, 0)), "")</f>
        <v/>
      </c>
      <c r="H334" s="9" t="str">
        <f t="array" ref="H334">IFERROR(INDEX(Data!E:E, MATCH($E334, Data!$B:$B, 0)), "")</f>
        <v/>
      </c>
      <c r="I334" s="9" t="str">
        <f t="shared" si="1"/>
        <v/>
      </c>
      <c r="J334" s="9" t="str">
        <f t="shared" si="2"/>
        <v>#REF!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12">
        <v>333.0</v>
      </c>
      <c r="B335" s="13">
        <v>333.0</v>
      </c>
      <c r="C335" s="9" t="str">
        <f t="array" ref="C335">IFERROR(INDEX(Data!F:F, MATCH($E335, Data!$B:$B, 0)), "")</f>
        <v/>
      </c>
      <c r="D335" s="9" t="str">
        <f t="array" ref="D335">IFERROR(INDEX(Data!A:A, MATCH($E335, Data!$B:$B, 0)), "")</f>
        <v/>
      </c>
      <c r="E335" s="9" t="str">
        <f>LARGE(Data!$B$2:$B1000,A335 )</f>
        <v>#NUM!</v>
      </c>
      <c r="F335" s="9" t="str">
        <f t="array" ref="F335">IFERROR(INDEX(Data!C:C, MATCH($E335, Data!$B:$B, 0)), "")</f>
        <v/>
      </c>
      <c r="G335" s="9" t="str">
        <f t="array" ref="G335">IFERROR(INDEX(Data!D:D, MATCH($E335, Data!$B:$B, 0)), "")</f>
        <v/>
      </c>
      <c r="H335" s="9" t="str">
        <f t="array" ref="H335">IFERROR(INDEX(Data!E:E, MATCH($E335, Data!$B:$B, 0)), "")</f>
        <v/>
      </c>
      <c r="I335" s="9" t="str">
        <f t="shared" si="1"/>
        <v/>
      </c>
      <c r="J335" s="9" t="str">
        <f t="shared" si="2"/>
        <v>#REF!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12">
        <v>334.0</v>
      </c>
      <c r="B336" s="13">
        <v>334.0</v>
      </c>
      <c r="C336" s="9" t="str">
        <f t="array" ref="C336">IFERROR(INDEX(Data!F:F, MATCH($E336, Data!$B:$B, 0)), "")</f>
        <v/>
      </c>
      <c r="D336" s="9" t="str">
        <f t="array" ref="D336">IFERROR(INDEX(Data!A:A, MATCH($E336, Data!$B:$B, 0)), "")</f>
        <v/>
      </c>
      <c r="E336" s="9" t="str">
        <f>LARGE(Data!$B$2:$B1000,A336 )</f>
        <v>#NUM!</v>
      </c>
      <c r="F336" s="9" t="str">
        <f t="array" ref="F336">IFERROR(INDEX(Data!C:C, MATCH($E336, Data!$B:$B, 0)), "")</f>
        <v/>
      </c>
      <c r="G336" s="9" t="str">
        <f t="array" ref="G336">IFERROR(INDEX(Data!D:D, MATCH($E336, Data!$B:$B, 0)), "")</f>
        <v/>
      </c>
      <c r="H336" s="9" t="str">
        <f t="array" ref="H336">IFERROR(INDEX(Data!E:E, MATCH($E336, Data!$B:$B, 0)), "")</f>
        <v/>
      </c>
      <c r="I336" s="9" t="str">
        <f t="shared" si="1"/>
        <v/>
      </c>
      <c r="J336" s="9" t="str">
        <f t="shared" si="2"/>
        <v>#REF!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12">
        <v>335.0</v>
      </c>
      <c r="B337" s="13">
        <v>335.0</v>
      </c>
      <c r="C337" s="9" t="str">
        <f t="array" ref="C337">IFERROR(INDEX(Data!F:F, MATCH($E337, Data!$B:$B, 0)), "")</f>
        <v/>
      </c>
      <c r="D337" s="9" t="str">
        <f t="array" ref="D337">IFERROR(INDEX(Data!A:A, MATCH($E337, Data!$B:$B, 0)), "")</f>
        <v/>
      </c>
      <c r="E337" s="9" t="str">
        <f>LARGE(Data!$B$2:$B1000,A337 )</f>
        <v>#NUM!</v>
      </c>
      <c r="F337" s="9" t="str">
        <f t="array" ref="F337">IFERROR(INDEX(Data!C:C, MATCH($E337, Data!$B:$B, 0)), "")</f>
        <v/>
      </c>
      <c r="G337" s="9" t="str">
        <f t="array" ref="G337">IFERROR(INDEX(Data!D:D, MATCH($E337, Data!$B:$B, 0)), "")</f>
        <v/>
      </c>
      <c r="H337" s="9" t="str">
        <f t="array" ref="H337">IFERROR(INDEX(Data!E:E, MATCH($E337, Data!$B:$B, 0)), "")</f>
        <v/>
      </c>
      <c r="I337" s="9" t="str">
        <f t="shared" si="1"/>
        <v/>
      </c>
      <c r="J337" s="9" t="str">
        <f t="shared" si="2"/>
        <v>#REF!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12">
        <v>336.0</v>
      </c>
      <c r="B338" s="13">
        <v>336.0</v>
      </c>
      <c r="C338" s="9" t="str">
        <f t="array" ref="C338">IFERROR(INDEX(Data!F:F, MATCH($E338, Data!$B:$B, 0)), "")</f>
        <v/>
      </c>
      <c r="D338" s="9" t="str">
        <f t="array" ref="D338">IFERROR(INDEX(Data!A:A, MATCH($E338, Data!$B:$B, 0)), "")</f>
        <v/>
      </c>
      <c r="E338" s="9" t="str">
        <f>LARGE(Data!$B$2:$B1000,A338 )</f>
        <v>#NUM!</v>
      </c>
      <c r="F338" s="9" t="str">
        <f t="array" ref="F338">IFERROR(INDEX(Data!C:C, MATCH($E338, Data!$B:$B, 0)), "")</f>
        <v/>
      </c>
      <c r="G338" s="9" t="str">
        <f t="array" ref="G338">IFERROR(INDEX(Data!D:D, MATCH($E338, Data!$B:$B, 0)), "")</f>
        <v/>
      </c>
      <c r="H338" s="9" t="str">
        <f t="array" ref="H338">IFERROR(INDEX(Data!E:E, MATCH($E338, Data!$B:$B, 0)), "")</f>
        <v/>
      </c>
      <c r="I338" s="9" t="str">
        <f t="shared" si="1"/>
        <v/>
      </c>
      <c r="J338" s="9" t="str">
        <f t="shared" si="2"/>
        <v>#REF!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12">
        <v>337.0</v>
      </c>
      <c r="B339" s="13">
        <v>337.0</v>
      </c>
      <c r="C339" s="9" t="str">
        <f t="array" ref="C339">IFERROR(INDEX(Data!F:F, MATCH($E339, Data!$B:$B, 0)), "")</f>
        <v/>
      </c>
      <c r="D339" s="9" t="str">
        <f t="array" ref="D339">IFERROR(INDEX(Data!A:A, MATCH($E339, Data!$B:$B, 0)), "")</f>
        <v/>
      </c>
      <c r="E339" s="9" t="str">
        <f>LARGE(Data!$B$2:$B1000,A339 )</f>
        <v>#NUM!</v>
      </c>
      <c r="F339" s="9" t="str">
        <f t="array" ref="F339">IFERROR(INDEX(Data!C:C, MATCH($E339, Data!$B:$B, 0)), "")</f>
        <v/>
      </c>
      <c r="G339" s="9" t="str">
        <f t="array" ref="G339">IFERROR(INDEX(Data!D:D, MATCH($E339, Data!$B:$B, 0)), "")</f>
        <v/>
      </c>
      <c r="H339" s="9" t="str">
        <f t="array" ref="H339">IFERROR(INDEX(Data!E:E, MATCH($E339, Data!$B:$B, 0)), "")</f>
        <v/>
      </c>
      <c r="I339" s="9" t="str">
        <f t="shared" si="1"/>
        <v/>
      </c>
      <c r="J339" s="9" t="str">
        <f t="shared" si="2"/>
        <v>#REF!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12">
        <v>338.0</v>
      </c>
      <c r="B340" s="13">
        <v>338.0</v>
      </c>
      <c r="C340" s="9" t="str">
        <f t="array" ref="C340">IFERROR(INDEX(Data!F:F, MATCH($E340, Data!$B:$B, 0)), "")</f>
        <v/>
      </c>
      <c r="D340" s="9" t="str">
        <f t="array" ref="D340">IFERROR(INDEX(Data!A:A, MATCH($E340, Data!$B:$B, 0)), "")</f>
        <v/>
      </c>
      <c r="E340" s="9" t="str">
        <f>LARGE(Data!$B$2:$B1000,A340 )</f>
        <v>#NUM!</v>
      </c>
      <c r="F340" s="9" t="str">
        <f t="array" ref="F340">IFERROR(INDEX(Data!C:C, MATCH($E340, Data!$B:$B, 0)), "")</f>
        <v/>
      </c>
      <c r="G340" s="9" t="str">
        <f t="array" ref="G340">IFERROR(INDEX(Data!D:D, MATCH($E340, Data!$B:$B, 0)), "")</f>
        <v/>
      </c>
      <c r="H340" s="9" t="str">
        <f t="array" ref="H340">IFERROR(INDEX(Data!E:E, MATCH($E340, Data!$B:$B, 0)), "")</f>
        <v/>
      </c>
      <c r="I340" s="9" t="str">
        <f t="shared" si="1"/>
        <v/>
      </c>
      <c r="J340" s="9" t="str">
        <f t="shared" si="2"/>
        <v>#REF!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12">
        <v>339.0</v>
      </c>
      <c r="B341" s="13">
        <v>339.0</v>
      </c>
      <c r="C341" s="9" t="str">
        <f t="array" ref="C341">IFERROR(INDEX(Data!F:F, MATCH($E341, Data!$B:$B, 0)), "")</f>
        <v/>
      </c>
      <c r="D341" s="9" t="str">
        <f t="array" ref="D341">IFERROR(INDEX(Data!A:A, MATCH($E341, Data!$B:$B, 0)), "")</f>
        <v/>
      </c>
      <c r="E341" s="9" t="str">
        <f>LARGE(Data!$B$2:$B1000,A341 )</f>
        <v>#NUM!</v>
      </c>
      <c r="F341" s="9" t="str">
        <f t="array" ref="F341">IFERROR(INDEX(Data!C:C, MATCH($E341, Data!$B:$B, 0)), "")</f>
        <v/>
      </c>
      <c r="G341" s="9" t="str">
        <f t="array" ref="G341">IFERROR(INDEX(Data!D:D, MATCH($E341, Data!$B:$B, 0)), "")</f>
        <v/>
      </c>
      <c r="H341" s="9" t="str">
        <f t="array" ref="H341">IFERROR(INDEX(Data!E:E, MATCH($E341, Data!$B:$B, 0)), "")</f>
        <v/>
      </c>
      <c r="I341" s="9" t="str">
        <f t="shared" si="1"/>
        <v/>
      </c>
      <c r="J341" s="9" t="str">
        <f t="shared" si="2"/>
        <v>#REF!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12">
        <v>340.0</v>
      </c>
      <c r="B342" s="13">
        <v>340.0</v>
      </c>
      <c r="C342" s="9" t="str">
        <f t="array" ref="C342">IFERROR(INDEX(Data!F:F, MATCH($E342, Data!$B:$B, 0)), "")</f>
        <v/>
      </c>
      <c r="D342" s="9" t="str">
        <f t="array" ref="D342">IFERROR(INDEX(Data!A:A, MATCH($E342, Data!$B:$B, 0)), "")</f>
        <v/>
      </c>
      <c r="E342" s="9" t="str">
        <f>LARGE(Data!$B$2:$B1000,A342 )</f>
        <v>#NUM!</v>
      </c>
      <c r="F342" s="9" t="str">
        <f t="array" ref="F342">IFERROR(INDEX(Data!C:C, MATCH($E342, Data!$B:$B, 0)), "")</f>
        <v/>
      </c>
      <c r="G342" s="9" t="str">
        <f t="array" ref="G342">IFERROR(INDEX(Data!D:D, MATCH($E342, Data!$B:$B, 0)), "")</f>
        <v/>
      </c>
      <c r="H342" s="9" t="str">
        <f t="array" ref="H342">IFERROR(INDEX(Data!E:E, MATCH($E342, Data!$B:$B, 0)), "")</f>
        <v/>
      </c>
      <c r="I342" s="9" t="str">
        <f t="shared" si="1"/>
        <v/>
      </c>
      <c r="J342" s="9" t="str">
        <f t="shared" si="2"/>
        <v>#REF!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12">
        <v>341.0</v>
      </c>
      <c r="B343" s="13">
        <v>341.0</v>
      </c>
      <c r="C343" s="9" t="str">
        <f t="array" ref="C343">IFERROR(INDEX(Data!F:F, MATCH($E343, Data!$B:$B, 0)), "")</f>
        <v/>
      </c>
      <c r="D343" s="9" t="str">
        <f t="array" ref="D343">IFERROR(INDEX(Data!A:A, MATCH($E343, Data!$B:$B, 0)), "")</f>
        <v/>
      </c>
      <c r="E343" s="9" t="str">
        <f>LARGE(Data!$B$2:$B1000,A343 )</f>
        <v>#NUM!</v>
      </c>
      <c r="F343" s="9" t="str">
        <f t="array" ref="F343">IFERROR(INDEX(Data!C:C, MATCH($E343, Data!$B:$B, 0)), "")</f>
        <v/>
      </c>
      <c r="G343" s="9" t="str">
        <f t="array" ref="G343">IFERROR(INDEX(Data!D:D, MATCH($E343, Data!$B:$B, 0)), "")</f>
        <v/>
      </c>
      <c r="H343" s="9" t="str">
        <f t="array" ref="H343">IFERROR(INDEX(Data!E:E, MATCH($E343, Data!$B:$B, 0)), "")</f>
        <v/>
      </c>
      <c r="I343" s="9" t="str">
        <f t="shared" si="1"/>
        <v/>
      </c>
      <c r="J343" s="9" t="str">
        <f t="shared" si="2"/>
        <v>#REF!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12">
        <v>342.0</v>
      </c>
      <c r="B344" s="13">
        <v>342.0</v>
      </c>
      <c r="C344" s="9" t="str">
        <f t="array" ref="C344">IFERROR(INDEX(Data!F:F, MATCH($E344, Data!$B:$B, 0)), "")</f>
        <v/>
      </c>
      <c r="D344" s="9" t="str">
        <f t="array" ref="D344">IFERROR(INDEX(Data!A:A, MATCH($E344, Data!$B:$B, 0)), "")</f>
        <v/>
      </c>
      <c r="E344" s="9" t="str">
        <f>LARGE(Data!$B$2:$B1000,A344 )</f>
        <v>#NUM!</v>
      </c>
      <c r="F344" s="9" t="str">
        <f t="array" ref="F344">IFERROR(INDEX(Data!C:C, MATCH($E344, Data!$B:$B, 0)), "")</f>
        <v/>
      </c>
      <c r="G344" s="9" t="str">
        <f t="array" ref="G344">IFERROR(INDEX(Data!D:D, MATCH($E344, Data!$B:$B, 0)), "")</f>
        <v/>
      </c>
      <c r="H344" s="9" t="str">
        <f t="array" ref="H344">IFERROR(INDEX(Data!E:E, MATCH($E344, Data!$B:$B, 0)), "")</f>
        <v/>
      </c>
      <c r="I344" s="9" t="str">
        <f t="shared" si="1"/>
        <v/>
      </c>
      <c r="J344" s="9" t="str">
        <f t="shared" si="2"/>
        <v>#REF!</v>
      </c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12">
        <v>343.0</v>
      </c>
      <c r="B345" s="13">
        <v>343.0</v>
      </c>
      <c r="C345" s="9" t="str">
        <f t="array" ref="C345">IFERROR(INDEX(Data!F:F, MATCH($E345, Data!$B:$B, 0)), "")</f>
        <v/>
      </c>
      <c r="D345" s="9" t="str">
        <f t="array" ref="D345">IFERROR(INDEX(Data!A:A, MATCH($E345, Data!$B:$B, 0)), "")</f>
        <v/>
      </c>
      <c r="E345" s="9" t="str">
        <f>LARGE(Data!$B$2:$B1000,A345 )</f>
        <v>#NUM!</v>
      </c>
      <c r="F345" s="9" t="str">
        <f t="array" ref="F345">IFERROR(INDEX(Data!C:C, MATCH($E345, Data!$B:$B, 0)), "")</f>
        <v/>
      </c>
      <c r="G345" s="9" t="str">
        <f t="array" ref="G345">IFERROR(INDEX(Data!D:D, MATCH($E345, Data!$B:$B, 0)), "")</f>
        <v/>
      </c>
      <c r="H345" s="9" t="str">
        <f t="array" ref="H345">IFERROR(INDEX(Data!E:E, MATCH($E345, Data!$B:$B, 0)), "")</f>
        <v/>
      </c>
      <c r="I345" s="9" t="str">
        <f t="shared" si="1"/>
        <v/>
      </c>
      <c r="J345" s="9" t="str">
        <f t="shared" si="2"/>
        <v>#REF!</v>
      </c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12">
        <v>344.0</v>
      </c>
      <c r="B346" s="13">
        <v>344.0</v>
      </c>
      <c r="C346" s="9" t="str">
        <f t="array" ref="C346">IFERROR(INDEX(Data!F:F, MATCH($E346, Data!$B:$B, 0)), "")</f>
        <v/>
      </c>
      <c r="D346" s="9" t="str">
        <f t="array" ref="D346">IFERROR(INDEX(Data!A:A, MATCH($E346, Data!$B:$B, 0)), "")</f>
        <v/>
      </c>
      <c r="E346" s="9" t="str">
        <f>LARGE(Data!$B$2:$B1000,A346 )</f>
        <v>#NUM!</v>
      </c>
      <c r="F346" s="9" t="str">
        <f t="array" ref="F346">IFERROR(INDEX(Data!C:C, MATCH($E346, Data!$B:$B, 0)), "")</f>
        <v/>
      </c>
      <c r="G346" s="9" t="str">
        <f t="array" ref="G346">IFERROR(INDEX(Data!D:D, MATCH($E346, Data!$B:$B, 0)), "")</f>
        <v/>
      </c>
      <c r="H346" s="9" t="str">
        <f t="array" ref="H346">IFERROR(INDEX(Data!E:E, MATCH($E346, Data!$B:$B, 0)), "")</f>
        <v/>
      </c>
      <c r="I346" s="9" t="str">
        <f t="shared" si="1"/>
        <v/>
      </c>
      <c r="J346" s="9" t="str">
        <f t="shared" si="2"/>
        <v>#REF!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12">
        <v>345.0</v>
      </c>
      <c r="B347" s="13">
        <v>345.0</v>
      </c>
      <c r="C347" s="9" t="str">
        <f t="array" ref="C347">IFERROR(INDEX(Data!F:F, MATCH($E347, Data!$B:$B, 0)), "")</f>
        <v/>
      </c>
      <c r="D347" s="9" t="str">
        <f t="array" ref="D347">IFERROR(INDEX(Data!A:A, MATCH($E347, Data!$B:$B, 0)), "")</f>
        <v/>
      </c>
      <c r="E347" s="9" t="str">
        <f>LARGE(Data!$B$2:$B1000,A347 )</f>
        <v>#NUM!</v>
      </c>
      <c r="F347" s="9" t="str">
        <f t="array" ref="F347">IFERROR(INDEX(Data!C:C, MATCH($E347, Data!$B:$B, 0)), "")</f>
        <v/>
      </c>
      <c r="G347" s="9" t="str">
        <f t="array" ref="G347">IFERROR(INDEX(Data!D:D, MATCH($E347, Data!$B:$B, 0)), "")</f>
        <v/>
      </c>
      <c r="H347" s="9" t="str">
        <f t="array" ref="H347">IFERROR(INDEX(Data!E:E, MATCH($E347, Data!$B:$B, 0)), "")</f>
        <v/>
      </c>
      <c r="I347" s="9" t="str">
        <f t="shared" si="1"/>
        <v/>
      </c>
      <c r="J347" s="9" t="str">
        <f t="shared" si="2"/>
        <v>#REF!</v>
      </c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12">
        <v>346.0</v>
      </c>
      <c r="B348" s="13">
        <v>346.0</v>
      </c>
      <c r="C348" s="9" t="str">
        <f t="array" ref="C348">IFERROR(INDEX(Data!F:F, MATCH($E348, Data!$B:$B, 0)), "")</f>
        <v/>
      </c>
      <c r="D348" s="9" t="str">
        <f t="array" ref="D348">IFERROR(INDEX(Data!A:A, MATCH($E348, Data!$B:$B, 0)), "")</f>
        <v/>
      </c>
      <c r="E348" s="9" t="str">
        <f>LARGE(Data!$B$2:$B1000,A348 )</f>
        <v>#NUM!</v>
      </c>
      <c r="F348" s="9" t="str">
        <f t="array" ref="F348">IFERROR(INDEX(Data!C:C, MATCH($E348, Data!$B:$B, 0)), "")</f>
        <v/>
      </c>
      <c r="G348" s="9" t="str">
        <f t="array" ref="G348">IFERROR(INDEX(Data!D:D, MATCH($E348, Data!$B:$B, 0)), "")</f>
        <v/>
      </c>
      <c r="H348" s="9" t="str">
        <f t="array" ref="H348">IFERROR(INDEX(Data!E:E, MATCH($E348, Data!$B:$B, 0)), "")</f>
        <v/>
      </c>
      <c r="I348" s="9" t="str">
        <f t="shared" si="1"/>
        <v/>
      </c>
      <c r="J348" s="9" t="str">
        <f t="shared" si="2"/>
        <v>#REF!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12">
        <v>347.0</v>
      </c>
      <c r="B349" s="13">
        <v>347.0</v>
      </c>
      <c r="C349" s="9" t="str">
        <f t="array" ref="C349">IFERROR(INDEX(Data!F:F, MATCH($E349, Data!$B:$B, 0)), "")</f>
        <v/>
      </c>
      <c r="D349" s="9" t="str">
        <f t="array" ref="D349">IFERROR(INDEX(Data!A:A, MATCH($E349, Data!$B:$B, 0)), "")</f>
        <v/>
      </c>
      <c r="E349" s="9" t="str">
        <f>LARGE(Data!$B$2:$B1000,A349 )</f>
        <v>#NUM!</v>
      </c>
      <c r="F349" s="9" t="str">
        <f t="array" ref="F349">IFERROR(INDEX(Data!C:C, MATCH($E349, Data!$B:$B, 0)), "")</f>
        <v/>
      </c>
      <c r="G349" s="9" t="str">
        <f t="array" ref="G349">IFERROR(INDEX(Data!D:D, MATCH($E349, Data!$B:$B, 0)), "")</f>
        <v/>
      </c>
      <c r="H349" s="9" t="str">
        <f t="array" ref="H349">IFERROR(INDEX(Data!E:E, MATCH($E349, Data!$B:$B, 0)), "")</f>
        <v/>
      </c>
      <c r="I349" s="9" t="str">
        <f t="shared" si="1"/>
        <v/>
      </c>
      <c r="J349" s="9" t="str">
        <f t="shared" si="2"/>
        <v>#REF!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12">
        <v>348.0</v>
      </c>
      <c r="B350" s="13">
        <v>348.0</v>
      </c>
      <c r="C350" s="9" t="str">
        <f t="array" ref="C350">IFERROR(INDEX(Data!F:F, MATCH($E350, Data!$B:$B, 0)), "")</f>
        <v/>
      </c>
      <c r="D350" s="9" t="str">
        <f t="array" ref="D350">IFERROR(INDEX(Data!A:A, MATCH($E350, Data!$B:$B, 0)), "")</f>
        <v/>
      </c>
      <c r="E350" s="9" t="str">
        <f>LARGE(Data!$B$2:$B1000,A350 )</f>
        <v>#NUM!</v>
      </c>
      <c r="F350" s="9" t="str">
        <f t="array" ref="F350">IFERROR(INDEX(Data!C:C, MATCH($E350, Data!$B:$B, 0)), "")</f>
        <v/>
      </c>
      <c r="G350" s="9" t="str">
        <f t="array" ref="G350">IFERROR(INDEX(Data!D:D, MATCH($E350, Data!$B:$B, 0)), "")</f>
        <v/>
      </c>
      <c r="H350" s="9" t="str">
        <f t="array" ref="H350">IFERROR(INDEX(Data!E:E, MATCH($E350, Data!$B:$B, 0)), "")</f>
        <v/>
      </c>
      <c r="I350" s="9" t="str">
        <f t="shared" si="1"/>
        <v/>
      </c>
      <c r="J350" s="9" t="str">
        <f t="shared" si="2"/>
        <v>#REF!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12">
        <v>349.0</v>
      </c>
      <c r="B351" s="13">
        <v>349.0</v>
      </c>
      <c r="C351" s="9" t="str">
        <f t="array" ref="C351">IFERROR(INDEX(Data!F:F, MATCH($E351, Data!$B:$B, 0)), "")</f>
        <v/>
      </c>
      <c r="D351" s="9" t="str">
        <f t="array" ref="D351">IFERROR(INDEX(Data!A:A, MATCH($E351, Data!$B:$B, 0)), "")</f>
        <v/>
      </c>
      <c r="E351" s="9" t="str">
        <f>LARGE(Data!$B$2:$B1000,A351 )</f>
        <v>#NUM!</v>
      </c>
      <c r="F351" s="9" t="str">
        <f t="array" ref="F351">IFERROR(INDEX(Data!C:C, MATCH($E351, Data!$B:$B, 0)), "")</f>
        <v/>
      </c>
      <c r="G351" s="9" t="str">
        <f t="array" ref="G351">IFERROR(INDEX(Data!D:D, MATCH($E351, Data!$B:$B, 0)), "")</f>
        <v/>
      </c>
      <c r="H351" s="9" t="str">
        <f t="array" ref="H351">IFERROR(INDEX(Data!E:E, MATCH($E351, Data!$B:$B, 0)), "")</f>
        <v/>
      </c>
      <c r="I351" s="9" t="str">
        <f t="shared" si="1"/>
        <v/>
      </c>
      <c r="J351" s="9" t="str">
        <f t="shared" si="2"/>
        <v>#REF!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12">
        <v>350.0</v>
      </c>
      <c r="B352" s="13">
        <v>350.0</v>
      </c>
      <c r="C352" s="9" t="str">
        <f t="array" ref="C352">IFERROR(INDEX(Data!F:F, MATCH($E352, Data!$B:$B, 0)), "")</f>
        <v/>
      </c>
      <c r="D352" s="9" t="str">
        <f t="array" ref="D352">IFERROR(INDEX(Data!A:A, MATCH($E352, Data!$B:$B, 0)), "")</f>
        <v/>
      </c>
      <c r="E352" s="9" t="str">
        <f>LARGE(Data!$B$2:$B1000,A352 )</f>
        <v>#NUM!</v>
      </c>
      <c r="F352" s="9" t="str">
        <f t="array" ref="F352">IFERROR(INDEX(Data!C:C, MATCH($E352, Data!$B:$B, 0)), "")</f>
        <v/>
      </c>
      <c r="G352" s="9" t="str">
        <f t="array" ref="G352">IFERROR(INDEX(Data!D:D, MATCH($E352, Data!$B:$B, 0)), "")</f>
        <v/>
      </c>
      <c r="H352" s="9" t="str">
        <f t="array" ref="H352">IFERROR(INDEX(Data!E:E, MATCH($E352, Data!$B:$B, 0)), "")</f>
        <v/>
      </c>
      <c r="I352" s="9" t="str">
        <f t="shared" si="1"/>
        <v/>
      </c>
      <c r="J352" s="9" t="str">
        <f t="shared" si="2"/>
        <v>#REF!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12">
        <v>351.0</v>
      </c>
      <c r="B353" s="13">
        <v>351.0</v>
      </c>
      <c r="C353" s="9" t="str">
        <f t="array" ref="C353">IFERROR(INDEX(Data!F:F, MATCH($E353, Data!$B:$B, 0)), "")</f>
        <v/>
      </c>
      <c r="D353" s="9" t="str">
        <f t="array" ref="D353">IFERROR(INDEX(Data!A:A, MATCH($E353, Data!$B:$B, 0)), "")</f>
        <v/>
      </c>
      <c r="E353" s="9" t="str">
        <f>LARGE(Data!$B$2:$B1000,A353 )</f>
        <v>#NUM!</v>
      </c>
      <c r="F353" s="9" t="str">
        <f t="array" ref="F353">IFERROR(INDEX(Data!C:C, MATCH($E353, Data!$B:$B, 0)), "")</f>
        <v/>
      </c>
      <c r="G353" s="9" t="str">
        <f t="array" ref="G353">IFERROR(INDEX(Data!D:D, MATCH($E353, Data!$B:$B, 0)), "")</f>
        <v/>
      </c>
      <c r="H353" s="9" t="str">
        <f t="array" ref="H353">IFERROR(INDEX(Data!E:E, MATCH($E353, Data!$B:$B, 0)), "")</f>
        <v/>
      </c>
      <c r="I353" s="9" t="str">
        <f t="shared" si="1"/>
        <v/>
      </c>
      <c r="J353" s="9" t="str">
        <f t="shared" si="2"/>
        <v>#REF!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12">
        <v>352.0</v>
      </c>
      <c r="B354" s="13">
        <v>352.0</v>
      </c>
      <c r="C354" s="9" t="str">
        <f t="array" ref="C354">IFERROR(INDEX(Data!F:F, MATCH($E354, Data!$B:$B, 0)), "")</f>
        <v/>
      </c>
      <c r="D354" s="9" t="str">
        <f t="array" ref="D354">IFERROR(INDEX(Data!A:A, MATCH($E354, Data!$B:$B, 0)), "")</f>
        <v/>
      </c>
      <c r="E354" s="9" t="str">
        <f>LARGE(Data!$B$2:$B1000,A354 )</f>
        <v>#NUM!</v>
      </c>
      <c r="F354" s="9" t="str">
        <f t="array" ref="F354">IFERROR(INDEX(Data!C:C, MATCH($E354, Data!$B:$B, 0)), "")</f>
        <v/>
      </c>
      <c r="G354" s="9" t="str">
        <f t="array" ref="G354">IFERROR(INDEX(Data!D:D, MATCH($E354, Data!$B:$B, 0)), "")</f>
        <v/>
      </c>
      <c r="H354" s="9" t="str">
        <f t="array" ref="H354">IFERROR(INDEX(Data!E:E, MATCH($E354, Data!$B:$B, 0)), "")</f>
        <v/>
      </c>
      <c r="I354" s="9" t="str">
        <f t="shared" si="1"/>
        <v/>
      </c>
      <c r="J354" s="9" t="str">
        <f t="shared" si="2"/>
        <v>#REF!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12">
        <v>353.0</v>
      </c>
      <c r="B355" s="13">
        <v>353.0</v>
      </c>
      <c r="C355" s="9" t="str">
        <f t="array" ref="C355">IFERROR(INDEX(Data!F:F, MATCH($E355, Data!$B:$B, 0)), "")</f>
        <v/>
      </c>
      <c r="D355" s="9" t="str">
        <f t="array" ref="D355">IFERROR(INDEX(Data!A:A, MATCH($E355, Data!$B:$B, 0)), "")</f>
        <v/>
      </c>
      <c r="E355" s="9" t="str">
        <f>LARGE(Data!$B$2:$B1000,A355 )</f>
        <v>#NUM!</v>
      </c>
      <c r="F355" s="9" t="str">
        <f t="array" ref="F355">IFERROR(INDEX(Data!C:C, MATCH($E355, Data!$B:$B, 0)), "")</f>
        <v/>
      </c>
      <c r="G355" s="9" t="str">
        <f t="array" ref="G355">IFERROR(INDEX(Data!D:D, MATCH($E355, Data!$B:$B, 0)), "")</f>
        <v/>
      </c>
      <c r="H355" s="9" t="str">
        <f t="array" ref="H355">IFERROR(INDEX(Data!E:E, MATCH($E355, Data!$B:$B, 0)), "")</f>
        <v/>
      </c>
      <c r="I355" s="9" t="str">
        <f t="shared" si="1"/>
        <v/>
      </c>
      <c r="J355" s="9" t="str">
        <f t="shared" si="2"/>
        <v>#REF!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12">
        <v>354.0</v>
      </c>
      <c r="B356" s="13">
        <v>354.0</v>
      </c>
      <c r="C356" s="9" t="str">
        <f t="array" ref="C356">IFERROR(INDEX(Data!F:F, MATCH($E356, Data!$B:$B, 0)), "")</f>
        <v/>
      </c>
      <c r="D356" s="9" t="str">
        <f t="array" ref="D356">IFERROR(INDEX(Data!A:A, MATCH($E356, Data!$B:$B, 0)), "")</f>
        <v/>
      </c>
      <c r="E356" s="9" t="str">
        <f>LARGE(Data!$B$2:$B1000,A356 )</f>
        <v>#NUM!</v>
      </c>
      <c r="F356" s="9" t="str">
        <f t="array" ref="F356">IFERROR(INDEX(Data!C:C, MATCH($E356, Data!$B:$B, 0)), "")</f>
        <v/>
      </c>
      <c r="G356" s="9" t="str">
        <f t="array" ref="G356">IFERROR(INDEX(Data!D:D, MATCH($E356, Data!$B:$B, 0)), "")</f>
        <v/>
      </c>
      <c r="H356" s="9" t="str">
        <f t="array" ref="H356">IFERROR(INDEX(Data!E:E, MATCH($E356, Data!$B:$B, 0)), "")</f>
        <v/>
      </c>
      <c r="I356" s="9" t="str">
        <f t="shared" si="1"/>
        <v/>
      </c>
      <c r="J356" s="9" t="str">
        <f t="shared" si="2"/>
        <v>#REF!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12">
        <v>355.0</v>
      </c>
      <c r="B357" s="13">
        <v>355.0</v>
      </c>
      <c r="C357" s="9" t="str">
        <f t="array" ref="C357">IFERROR(INDEX(Data!F:F, MATCH($E357, Data!$B:$B, 0)), "")</f>
        <v/>
      </c>
      <c r="D357" s="9" t="str">
        <f t="array" ref="D357">IFERROR(INDEX(Data!A:A, MATCH($E357, Data!$B:$B, 0)), "")</f>
        <v/>
      </c>
      <c r="E357" s="9" t="str">
        <f>LARGE(Data!$B$2:$B1000,A357 )</f>
        <v>#NUM!</v>
      </c>
      <c r="F357" s="9" t="str">
        <f t="array" ref="F357">IFERROR(INDEX(Data!C:C, MATCH($E357, Data!$B:$B, 0)), "")</f>
        <v/>
      </c>
      <c r="G357" s="9" t="str">
        <f t="array" ref="G357">IFERROR(INDEX(Data!D:D, MATCH($E357, Data!$B:$B, 0)), "")</f>
        <v/>
      </c>
      <c r="H357" s="9" t="str">
        <f t="array" ref="H357">IFERROR(INDEX(Data!E:E, MATCH($E357, Data!$B:$B, 0)), "")</f>
        <v/>
      </c>
      <c r="I357" s="9" t="str">
        <f t="shared" si="1"/>
        <v/>
      </c>
      <c r="J357" s="9" t="str">
        <f t="shared" si="2"/>
        <v>#REF!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12">
        <v>356.0</v>
      </c>
      <c r="B358" s="13">
        <v>356.0</v>
      </c>
      <c r="C358" s="9" t="str">
        <f t="array" ref="C358">IFERROR(INDEX(Data!F:F, MATCH($E358, Data!$B:$B, 0)), "")</f>
        <v/>
      </c>
      <c r="D358" s="9" t="str">
        <f t="array" ref="D358">IFERROR(INDEX(Data!A:A, MATCH($E358, Data!$B:$B, 0)), "")</f>
        <v/>
      </c>
      <c r="E358" s="9" t="str">
        <f>LARGE(Data!$B$2:$B1000,A358 )</f>
        <v>#NUM!</v>
      </c>
      <c r="F358" s="9" t="str">
        <f t="array" ref="F358">IFERROR(INDEX(Data!C:C, MATCH($E358, Data!$B:$B, 0)), "")</f>
        <v/>
      </c>
      <c r="G358" s="9" t="str">
        <f t="array" ref="G358">IFERROR(INDEX(Data!D:D, MATCH($E358, Data!$B:$B, 0)), "")</f>
        <v/>
      </c>
      <c r="H358" s="9" t="str">
        <f t="array" ref="H358">IFERROR(INDEX(Data!E:E, MATCH($E358, Data!$B:$B, 0)), "")</f>
        <v/>
      </c>
      <c r="I358" s="9" t="str">
        <f t="shared" si="1"/>
        <v/>
      </c>
      <c r="J358" s="9" t="str">
        <f t="shared" si="2"/>
        <v>#REF!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12">
        <v>357.0</v>
      </c>
      <c r="B359" s="13">
        <v>357.0</v>
      </c>
      <c r="C359" s="9" t="str">
        <f t="array" ref="C359">IFERROR(INDEX(Data!F:F, MATCH($E359, Data!$B:$B, 0)), "")</f>
        <v/>
      </c>
      <c r="D359" s="9" t="str">
        <f t="array" ref="D359">IFERROR(INDEX(Data!A:A, MATCH($E359, Data!$B:$B, 0)), "")</f>
        <v/>
      </c>
      <c r="E359" s="9" t="str">
        <f>LARGE(Data!$B$2:$B1000,A359 )</f>
        <v>#NUM!</v>
      </c>
      <c r="F359" s="9" t="str">
        <f t="array" ref="F359">IFERROR(INDEX(Data!C:C, MATCH($E359, Data!$B:$B, 0)), "")</f>
        <v/>
      </c>
      <c r="G359" s="9" t="str">
        <f t="array" ref="G359">IFERROR(INDEX(Data!D:D, MATCH($E359, Data!$B:$B, 0)), "")</f>
        <v/>
      </c>
      <c r="H359" s="9" t="str">
        <f t="array" ref="H359">IFERROR(INDEX(Data!E:E, MATCH($E359, Data!$B:$B, 0)), "")</f>
        <v/>
      </c>
      <c r="I359" s="9" t="str">
        <f t="shared" si="1"/>
        <v/>
      </c>
      <c r="J359" s="9" t="str">
        <f t="shared" si="2"/>
        <v>#REF!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12">
        <v>358.0</v>
      </c>
      <c r="B360" s="13">
        <v>358.0</v>
      </c>
      <c r="C360" s="9" t="str">
        <f t="array" ref="C360">IFERROR(INDEX(Data!F:F, MATCH($E360, Data!$B:$B, 0)), "")</f>
        <v/>
      </c>
      <c r="D360" s="9" t="str">
        <f t="array" ref="D360">IFERROR(INDEX(Data!A:A, MATCH($E360, Data!$B:$B, 0)), "")</f>
        <v/>
      </c>
      <c r="E360" s="9" t="str">
        <f>LARGE(Data!$B$2:$B1000,A360 )</f>
        <v>#NUM!</v>
      </c>
      <c r="F360" s="9" t="str">
        <f t="array" ref="F360">IFERROR(INDEX(Data!C:C, MATCH($E360, Data!$B:$B, 0)), "")</f>
        <v/>
      </c>
      <c r="G360" s="9" t="str">
        <f t="array" ref="G360">IFERROR(INDEX(Data!D:D, MATCH($E360, Data!$B:$B, 0)), "")</f>
        <v/>
      </c>
      <c r="H360" s="9" t="str">
        <f t="array" ref="H360">IFERROR(INDEX(Data!E:E, MATCH($E360, Data!$B:$B, 0)), "")</f>
        <v/>
      </c>
      <c r="I360" s="9" t="str">
        <f t="shared" si="1"/>
        <v/>
      </c>
      <c r="J360" s="9" t="str">
        <f t="shared" si="2"/>
        <v>#REF!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12">
        <v>359.0</v>
      </c>
      <c r="B361" s="13">
        <v>359.0</v>
      </c>
      <c r="C361" s="9" t="str">
        <f t="array" ref="C361">IFERROR(INDEX(Data!F:F, MATCH($E361, Data!$B:$B, 0)), "")</f>
        <v/>
      </c>
      <c r="D361" s="9" t="str">
        <f t="array" ref="D361">IFERROR(INDEX(Data!A:A, MATCH($E361, Data!$B:$B, 0)), "")</f>
        <v/>
      </c>
      <c r="E361" s="9" t="str">
        <f>LARGE(Data!$B$2:$B1000,A361 )</f>
        <v>#NUM!</v>
      </c>
      <c r="F361" s="9" t="str">
        <f t="array" ref="F361">IFERROR(INDEX(Data!C:C, MATCH($E361, Data!$B:$B, 0)), "")</f>
        <v/>
      </c>
      <c r="G361" s="9" t="str">
        <f t="array" ref="G361">IFERROR(INDEX(Data!D:D, MATCH($E361, Data!$B:$B, 0)), "")</f>
        <v/>
      </c>
      <c r="H361" s="9" t="str">
        <f t="array" ref="H361">IFERROR(INDEX(Data!E:E, MATCH($E361, Data!$B:$B, 0)), "")</f>
        <v/>
      </c>
      <c r="I361" s="9" t="str">
        <f t="shared" si="1"/>
        <v/>
      </c>
      <c r="J361" s="9" t="str">
        <f t="shared" si="2"/>
        <v>#REF!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12">
        <v>360.0</v>
      </c>
      <c r="B362" s="13">
        <v>360.0</v>
      </c>
      <c r="C362" s="9" t="str">
        <f t="array" ref="C362">IFERROR(INDEX(Data!F:F, MATCH($E362, Data!$B:$B, 0)), "")</f>
        <v/>
      </c>
      <c r="D362" s="9" t="str">
        <f t="array" ref="D362">IFERROR(INDEX(Data!A:A, MATCH($E362, Data!$B:$B, 0)), "")</f>
        <v/>
      </c>
      <c r="E362" s="9" t="str">
        <f>LARGE(Data!$B$2:$B1000,A362 )</f>
        <v>#NUM!</v>
      </c>
      <c r="F362" s="9" t="str">
        <f t="array" ref="F362">IFERROR(INDEX(Data!C:C, MATCH($E362, Data!$B:$B, 0)), "")</f>
        <v/>
      </c>
      <c r="G362" s="9" t="str">
        <f t="array" ref="G362">IFERROR(INDEX(Data!D:D, MATCH($E362, Data!$B:$B, 0)), "")</f>
        <v/>
      </c>
      <c r="H362" s="9" t="str">
        <f t="array" ref="H362">IFERROR(INDEX(Data!E:E, MATCH($E362, Data!$B:$B, 0)), "")</f>
        <v/>
      </c>
      <c r="I362" s="9" t="str">
        <f t="shared" si="1"/>
        <v/>
      </c>
      <c r="J362" s="9" t="str">
        <f t="shared" si="2"/>
        <v>#REF!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12">
        <v>361.0</v>
      </c>
      <c r="B363" s="13">
        <v>361.0</v>
      </c>
      <c r="C363" s="9" t="str">
        <f t="array" ref="C363">IFERROR(INDEX(Data!F:F, MATCH($E363, Data!$B:$B, 0)), "")</f>
        <v/>
      </c>
      <c r="D363" s="9" t="str">
        <f t="array" ref="D363">IFERROR(INDEX(Data!A:A, MATCH($E363, Data!$B:$B, 0)), "")</f>
        <v/>
      </c>
      <c r="E363" s="9" t="str">
        <f>LARGE(Data!$B$2:$B1000,A363 )</f>
        <v>#NUM!</v>
      </c>
      <c r="F363" s="9" t="str">
        <f t="array" ref="F363">IFERROR(INDEX(Data!C:C, MATCH($E363, Data!$B:$B, 0)), "")</f>
        <v/>
      </c>
      <c r="G363" s="9" t="str">
        <f t="array" ref="G363">IFERROR(INDEX(Data!D:D, MATCH($E363, Data!$B:$B, 0)), "")</f>
        <v/>
      </c>
      <c r="H363" s="9" t="str">
        <f t="array" ref="H363">IFERROR(INDEX(Data!E:E, MATCH($E363, Data!$B:$B, 0)), "")</f>
        <v/>
      </c>
      <c r="I363" s="9" t="str">
        <f t="shared" si="1"/>
        <v/>
      </c>
      <c r="J363" s="9" t="str">
        <f t="shared" si="2"/>
        <v>#REF!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12">
        <v>362.0</v>
      </c>
      <c r="B364" s="13">
        <v>362.0</v>
      </c>
      <c r="C364" s="9" t="str">
        <f t="array" ref="C364">IFERROR(INDEX(Data!F:F, MATCH($E364, Data!$B:$B, 0)), "")</f>
        <v/>
      </c>
      <c r="D364" s="9" t="str">
        <f t="array" ref="D364">IFERROR(INDEX(Data!A:A, MATCH($E364, Data!$B:$B, 0)), "")</f>
        <v/>
      </c>
      <c r="E364" s="9" t="str">
        <f>LARGE(Data!$B$2:$B1000,A364 )</f>
        <v>#NUM!</v>
      </c>
      <c r="F364" s="9" t="str">
        <f t="array" ref="F364">IFERROR(INDEX(Data!C:C, MATCH($E364, Data!$B:$B, 0)), "")</f>
        <v/>
      </c>
      <c r="G364" s="9" t="str">
        <f t="array" ref="G364">IFERROR(INDEX(Data!D:D, MATCH($E364, Data!$B:$B, 0)), "")</f>
        <v/>
      </c>
      <c r="H364" s="9" t="str">
        <f t="array" ref="H364">IFERROR(INDEX(Data!E:E, MATCH($E364, Data!$B:$B, 0)), "")</f>
        <v/>
      </c>
      <c r="I364" s="9" t="str">
        <f t="shared" si="1"/>
        <v/>
      </c>
      <c r="J364" s="9" t="str">
        <f t="shared" si="2"/>
        <v>#REF!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12">
        <v>363.0</v>
      </c>
      <c r="B365" s="13">
        <v>363.0</v>
      </c>
      <c r="C365" s="9" t="str">
        <f t="array" ref="C365">IFERROR(INDEX(Data!F:F, MATCH($E365, Data!$B:$B, 0)), "")</f>
        <v/>
      </c>
      <c r="D365" s="9" t="str">
        <f t="array" ref="D365">IFERROR(INDEX(Data!A:A, MATCH($E365, Data!$B:$B, 0)), "")</f>
        <v/>
      </c>
      <c r="E365" s="9" t="str">
        <f>LARGE(Data!$B$2:$B1000,A365 )</f>
        <v>#NUM!</v>
      </c>
      <c r="F365" s="9" t="str">
        <f t="array" ref="F365">IFERROR(INDEX(Data!C:C, MATCH($E365, Data!$B:$B, 0)), "")</f>
        <v/>
      </c>
      <c r="G365" s="9" t="str">
        <f t="array" ref="G365">IFERROR(INDEX(Data!D:D, MATCH($E365, Data!$B:$B, 0)), "")</f>
        <v/>
      </c>
      <c r="H365" s="9" t="str">
        <f t="array" ref="H365">IFERROR(INDEX(Data!E:E, MATCH($E365, Data!$B:$B, 0)), "")</f>
        <v/>
      </c>
      <c r="I365" s="9" t="str">
        <f t="shared" si="1"/>
        <v/>
      </c>
      <c r="J365" s="9" t="str">
        <f t="shared" si="2"/>
        <v>#REF!</v>
      </c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12">
        <v>364.0</v>
      </c>
      <c r="B366" s="13">
        <v>364.0</v>
      </c>
      <c r="C366" s="9" t="str">
        <f t="array" ref="C366">IFERROR(INDEX(Data!F:F, MATCH($E366, Data!$B:$B, 0)), "")</f>
        <v/>
      </c>
      <c r="D366" s="9" t="str">
        <f t="array" ref="D366">IFERROR(INDEX(Data!A:A, MATCH($E366, Data!$B:$B, 0)), "")</f>
        <v/>
      </c>
      <c r="E366" s="9" t="str">
        <f>LARGE(Data!$B$2:$B1000,A366 )</f>
        <v>#NUM!</v>
      </c>
      <c r="F366" s="9" t="str">
        <f t="array" ref="F366">IFERROR(INDEX(Data!C:C, MATCH($E366, Data!$B:$B, 0)), "")</f>
        <v/>
      </c>
      <c r="G366" s="9" t="str">
        <f t="array" ref="G366">IFERROR(INDEX(Data!D:D, MATCH($E366, Data!$B:$B, 0)), "")</f>
        <v/>
      </c>
      <c r="H366" s="9" t="str">
        <f t="array" ref="H366">IFERROR(INDEX(Data!E:E, MATCH($E366, Data!$B:$B, 0)), "")</f>
        <v/>
      </c>
      <c r="I366" s="9" t="str">
        <f t="shared" si="1"/>
        <v/>
      </c>
      <c r="J366" s="9" t="str">
        <f t="shared" si="2"/>
        <v>#REF!</v>
      </c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12">
        <v>365.0</v>
      </c>
      <c r="B367" s="13">
        <v>365.0</v>
      </c>
      <c r="C367" s="9" t="str">
        <f t="array" ref="C367">IFERROR(INDEX(Data!F:F, MATCH($E367, Data!$B:$B, 0)), "")</f>
        <v/>
      </c>
      <c r="D367" s="9" t="str">
        <f t="array" ref="D367">IFERROR(INDEX(Data!A:A, MATCH($E367, Data!$B:$B, 0)), "")</f>
        <v/>
      </c>
      <c r="E367" s="9" t="str">
        <f>LARGE(Data!$B$2:$B1000,A367 )</f>
        <v>#NUM!</v>
      </c>
      <c r="F367" s="9" t="str">
        <f t="array" ref="F367">IFERROR(INDEX(Data!C:C, MATCH($E367, Data!$B:$B, 0)), "")</f>
        <v/>
      </c>
      <c r="G367" s="9" t="str">
        <f t="array" ref="G367">IFERROR(INDEX(Data!D:D, MATCH($E367, Data!$B:$B, 0)), "")</f>
        <v/>
      </c>
      <c r="H367" s="9" t="str">
        <f t="array" ref="H367">IFERROR(INDEX(Data!E:E, MATCH($E367, Data!$B:$B, 0)), "")</f>
        <v/>
      </c>
      <c r="I367" s="9" t="str">
        <f t="shared" si="1"/>
        <v/>
      </c>
      <c r="J367" s="9" t="str">
        <f t="shared" si="2"/>
        <v>#REF!</v>
      </c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12">
        <v>366.0</v>
      </c>
      <c r="B368" s="13">
        <v>366.0</v>
      </c>
      <c r="C368" s="9" t="str">
        <f t="array" ref="C368">IFERROR(INDEX(Data!F:F, MATCH($E368, Data!$B:$B, 0)), "")</f>
        <v/>
      </c>
      <c r="D368" s="9" t="str">
        <f t="array" ref="D368">IFERROR(INDEX(Data!A:A, MATCH($E368, Data!$B:$B, 0)), "")</f>
        <v/>
      </c>
      <c r="E368" s="9" t="str">
        <f>LARGE(Data!$B$2:$B1000,A368 )</f>
        <v>#NUM!</v>
      </c>
      <c r="F368" s="9" t="str">
        <f t="array" ref="F368">IFERROR(INDEX(Data!C:C, MATCH($E368, Data!$B:$B, 0)), "")</f>
        <v/>
      </c>
      <c r="G368" s="9" t="str">
        <f t="array" ref="G368">IFERROR(INDEX(Data!D:D, MATCH($E368, Data!$B:$B, 0)), "")</f>
        <v/>
      </c>
      <c r="H368" s="9" t="str">
        <f t="array" ref="H368">IFERROR(INDEX(Data!E:E, MATCH($E368, Data!$B:$B, 0)), "")</f>
        <v/>
      </c>
      <c r="I368" s="9" t="str">
        <f t="shared" si="1"/>
        <v/>
      </c>
      <c r="J368" s="9" t="str">
        <f t="shared" si="2"/>
        <v>#REF!</v>
      </c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12">
        <v>367.0</v>
      </c>
      <c r="B369" s="13">
        <v>367.0</v>
      </c>
      <c r="C369" s="9" t="str">
        <f t="array" ref="C369">IFERROR(INDEX(Data!F:F, MATCH($E369, Data!$B:$B, 0)), "")</f>
        <v/>
      </c>
      <c r="D369" s="9" t="str">
        <f t="array" ref="D369">IFERROR(INDEX(Data!A:A, MATCH($E369, Data!$B:$B, 0)), "")</f>
        <v/>
      </c>
      <c r="E369" s="9" t="str">
        <f>LARGE(Data!$B$2:$B1000,A369 )</f>
        <v>#NUM!</v>
      </c>
      <c r="F369" s="9" t="str">
        <f t="array" ref="F369">IFERROR(INDEX(Data!C:C, MATCH($E369, Data!$B:$B, 0)), "")</f>
        <v/>
      </c>
      <c r="G369" s="9" t="str">
        <f t="array" ref="G369">IFERROR(INDEX(Data!D:D, MATCH($E369, Data!$B:$B, 0)), "")</f>
        <v/>
      </c>
      <c r="H369" s="9" t="str">
        <f t="array" ref="H369">IFERROR(INDEX(Data!E:E, MATCH($E369, Data!$B:$B, 0)), "")</f>
        <v/>
      </c>
      <c r="I369" s="9" t="str">
        <f t="shared" si="1"/>
        <v/>
      </c>
      <c r="J369" s="9" t="str">
        <f t="shared" si="2"/>
        <v>#REF!</v>
      </c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12">
        <v>368.0</v>
      </c>
      <c r="B370" s="13">
        <v>368.0</v>
      </c>
      <c r="C370" s="9" t="str">
        <f t="array" ref="C370">IFERROR(INDEX(Data!F:F, MATCH($E370, Data!$B:$B, 0)), "")</f>
        <v/>
      </c>
      <c r="D370" s="9" t="str">
        <f t="array" ref="D370">IFERROR(INDEX(Data!A:A, MATCH($E370, Data!$B:$B, 0)), "")</f>
        <v/>
      </c>
      <c r="E370" s="9" t="str">
        <f>LARGE(Data!$B$2:$B1000,A370 )</f>
        <v>#NUM!</v>
      </c>
      <c r="F370" s="9" t="str">
        <f t="array" ref="F370">IFERROR(INDEX(Data!C:C, MATCH($E370, Data!$B:$B, 0)), "")</f>
        <v/>
      </c>
      <c r="G370" s="9" t="str">
        <f t="array" ref="G370">IFERROR(INDEX(Data!D:D, MATCH($E370, Data!$B:$B, 0)), "")</f>
        <v/>
      </c>
      <c r="H370" s="9" t="str">
        <f t="array" ref="H370">IFERROR(INDEX(Data!E:E, MATCH($E370, Data!$B:$B, 0)), "")</f>
        <v/>
      </c>
      <c r="I370" s="9" t="str">
        <f t="shared" si="1"/>
        <v/>
      </c>
      <c r="J370" s="9" t="str">
        <f t="shared" si="2"/>
        <v>#REF!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12">
        <v>369.0</v>
      </c>
      <c r="B371" s="13">
        <v>369.0</v>
      </c>
      <c r="C371" s="9" t="str">
        <f t="array" ref="C371">IFERROR(INDEX(Data!F:F, MATCH($E371, Data!$B:$B, 0)), "")</f>
        <v/>
      </c>
      <c r="D371" s="9" t="str">
        <f t="array" ref="D371">IFERROR(INDEX(Data!A:A, MATCH($E371, Data!$B:$B, 0)), "")</f>
        <v/>
      </c>
      <c r="E371" s="9" t="str">
        <f>LARGE(Data!$B$2:$B1000,A371 )</f>
        <v>#NUM!</v>
      </c>
      <c r="F371" s="9" t="str">
        <f t="array" ref="F371">IFERROR(INDEX(Data!C:C, MATCH($E371, Data!$B:$B, 0)), "")</f>
        <v/>
      </c>
      <c r="G371" s="9" t="str">
        <f t="array" ref="G371">IFERROR(INDEX(Data!D:D, MATCH($E371, Data!$B:$B, 0)), "")</f>
        <v/>
      </c>
      <c r="H371" s="9" t="str">
        <f t="array" ref="H371">IFERROR(INDEX(Data!E:E, MATCH($E371, Data!$B:$B, 0)), "")</f>
        <v/>
      </c>
      <c r="I371" s="9" t="str">
        <f t="shared" si="1"/>
        <v/>
      </c>
      <c r="J371" s="9" t="str">
        <f t="shared" si="2"/>
        <v>#REF!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12">
        <v>370.0</v>
      </c>
      <c r="B372" s="13">
        <v>370.0</v>
      </c>
      <c r="C372" s="9" t="str">
        <f t="array" ref="C372">IFERROR(INDEX(Data!F:F, MATCH($E372, Data!$B:$B, 0)), "")</f>
        <v/>
      </c>
      <c r="D372" s="9" t="str">
        <f t="array" ref="D372">IFERROR(INDEX(Data!A:A, MATCH($E372, Data!$B:$B, 0)), "")</f>
        <v/>
      </c>
      <c r="E372" s="9" t="str">
        <f>LARGE(Data!$B$2:$B1000,A372 )</f>
        <v>#NUM!</v>
      </c>
      <c r="F372" s="9" t="str">
        <f t="array" ref="F372">IFERROR(INDEX(Data!C:C, MATCH($E372, Data!$B:$B, 0)), "")</f>
        <v/>
      </c>
      <c r="G372" s="9" t="str">
        <f t="array" ref="G372">IFERROR(INDEX(Data!D:D, MATCH($E372, Data!$B:$B, 0)), "")</f>
        <v/>
      </c>
      <c r="H372" s="9" t="str">
        <f t="array" ref="H372">IFERROR(INDEX(Data!E:E, MATCH($E372, Data!$B:$B, 0)), "")</f>
        <v/>
      </c>
      <c r="I372" s="9" t="str">
        <f t="shared" si="1"/>
        <v/>
      </c>
      <c r="J372" s="9" t="str">
        <f t="shared" si="2"/>
        <v>#REF!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12">
        <v>371.0</v>
      </c>
      <c r="B373" s="13">
        <v>371.0</v>
      </c>
      <c r="C373" s="9" t="str">
        <f t="array" ref="C373">IFERROR(INDEX(Data!F:F, MATCH($E373, Data!$B:$B, 0)), "")</f>
        <v/>
      </c>
      <c r="D373" s="9" t="str">
        <f t="array" ref="D373">IFERROR(INDEX(Data!A:A, MATCH($E373, Data!$B:$B, 0)), "")</f>
        <v/>
      </c>
      <c r="E373" s="9" t="str">
        <f>LARGE(Data!$B$2:$B1000,A373 )</f>
        <v>#NUM!</v>
      </c>
      <c r="F373" s="9" t="str">
        <f t="array" ref="F373">IFERROR(INDEX(Data!C:C, MATCH($E373, Data!$B:$B, 0)), "")</f>
        <v/>
      </c>
      <c r="G373" s="9" t="str">
        <f t="array" ref="G373">IFERROR(INDEX(Data!D:D, MATCH($E373, Data!$B:$B, 0)), "")</f>
        <v/>
      </c>
      <c r="H373" s="9" t="str">
        <f t="array" ref="H373">IFERROR(INDEX(Data!E:E, MATCH($E373, Data!$B:$B, 0)), "")</f>
        <v/>
      </c>
      <c r="I373" s="9" t="str">
        <f t="shared" si="1"/>
        <v/>
      </c>
      <c r="J373" s="9" t="str">
        <f t="shared" si="2"/>
        <v>#REF!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12">
        <v>372.0</v>
      </c>
      <c r="B374" s="13">
        <v>372.0</v>
      </c>
      <c r="C374" s="9" t="str">
        <f t="array" ref="C374">IFERROR(INDEX(Data!F:F, MATCH($E374, Data!$B:$B, 0)), "")</f>
        <v/>
      </c>
      <c r="D374" s="9" t="str">
        <f t="array" ref="D374">IFERROR(INDEX(Data!A:A, MATCH($E374, Data!$B:$B, 0)), "")</f>
        <v/>
      </c>
      <c r="E374" s="9" t="str">
        <f>LARGE(Data!$B$2:$B1000,A374 )</f>
        <v>#NUM!</v>
      </c>
      <c r="F374" s="9" t="str">
        <f t="array" ref="F374">IFERROR(INDEX(Data!C:C, MATCH($E374, Data!$B:$B, 0)), "")</f>
        <v/>
      </c>
      <c r="G374" s="9" t="str">
        <f t="array" ref="G374">IFERROR(INDEX(Data!D:D, MATCH($E374, Data!$B:$B, 0)), "")</f>
        <v/>
      </c>
      <c r="H374" s="9" t="str">
        <f t="array" ref="H374">IFERROR(INDEX(Data!E:E, MATCH($E374, Data!$B:$B, 0)), "")</f>
        <v/>
      </c>
      <c r="I374" s="9" t="str">
        <f t="shared" si="1"/>
        <v/>
      </c>
      <c r="J374" s="9" t="str">
        <f t="shared" si="2"/>
        <v>#REF!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12">
        <v>373.0</v>
      </c>
      <c r="B375" s="13">
        <v>373.0</v>
      </c>
      <c r="C375" s="9" t="str">
        <f t="array" ref="C375">IFERROR(INDEX(Data!F:F, MATCH($E375, Data!$B:$B, 0)), "")</f>
        <v/>
      </c>
      <c r="D375" s="9" t="str">
        <f t="array" ref="D375">IFERROR(INDEX(Data!A:A, MATCH($E375, Data!$B:$B, 0)), "")</f>
        <v/>
      </c>
      <c r="E375" s="9" t="str">
        <f>LARGE(Data!$B$2:$B1000,A375 )</f>
        <v>#NUM!</v>
      </c>
      <c r="F375" s="9" t="str">
        <f t="array" ref="F375">IFERROR(INDEX(Data!C:C, MATCH($E375, Data!$B:$B, 0)), "")</f>
        <v/>
      </c>
      <c r="G375" s="9" t="str">
        <f t="array" ref="G375">IFERROR(INDEX(Data!D:D, MATCH($E375, Data!$B:$B, 0)), "")</f>
        <v/>
      </c>
      <c r="H375" s="9" t="str">
        <f t="array" ref="H375">IFERROR(INDEX(Data!E:E, MATCH($E375, Data!$B:$B, 0)), "")</f>
        <v/>
      </c>
      <c r="I375" s="9" t="str">
        <f t="shared" si="1"/>
        <v/>
      </c>
      <c r="J375" s="9" t="str">
        <f t="shared" si="2"/>
        <v>#REF!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12">
        <v>374.0</v>
      </c>
      <c r="B376" s="13">
        <v>374.0</v>
      </c>
      <c r="C376" s="9" t="str">
        <f t="array" ref="C376">IFERROR(INDEX(Data!F:F, MATCH($E376, Data!$B:$B, 0)), "")</f>
        <v/>
      </c>
      <c r="D376" s="9" t="str">
        <f t="array" ref="D376">IFERROR(INDEX(Data!A:A, MATCH($E376, Data!$B:$B, 0)), "")</f>
        <v/>
      </c>
      <c r="E376" s="9" t="str">
        <f>LARGE(Data!$B$2:$B1000,A376 )</f>
        <v>#NUM!</v>
      </c>
      <c r="F376" s="9" t="str">
        <f t="array" ref="F376">IFERROR(INDEX(Data!C:C, MATCH($E376, Data!$B:$B, 0)), "")</f>
        <v/>
      </c>
      <c r="G376" s="9" t="str">
        <f t="array" ref="G376">IFERROR(INDEX(Data!D:D, MATCH($E376, Data!$B:$B, 0)), "")</f>
        <v/>
      </c>
      <c r="H376" s="9" t="str">
        <f t="array" ref="H376">IFERROR(INDEX(Data!E:E, MATCH($E376, Data!$B:$B, 0)), "")</f>
        <v/>
      </c>
      <c r="I376" s="9" t="str">
        <f t="shared" si="1"/>
        <v/>
      </c>
      <c r="J376" s="9" t="str">
        <f t="shared" si="2"/>
        <v>#REF!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12">
        <v>375.0</v>
      </c>
      <c r="B377" s="13">
        <v>375.0</v>
      </c>
      <c r="C377" s="9" t="str">
        <f t="array" ref="C377">IFERROR(INDEX(Data!F:F, MATCH($E377, Data!$B:$B, 0)), "")</f>
        <v/>
      </c>
      <c r="D377" s="9" t="str">
        <f t="array" ref="D377">IFERROR(INDEX(Data!A:A, MATCH($E377, Data!$B:$B, 0)), "")</f>
        <v/>
      </c>
      <c r="E377" s="9" t="str">
        <f>LARGE(Data!$B$2:$B1000,A377 )</f>
        <v>#NUM!</v>
      </c>
      <c r="F377" s="9" t="str">
        <f t="array" ref="F377">IFERROR(INDEX(Data!C:C, MATCH($E377, Data!$B:$B, 0)), "")</f>
        <v/>
      </c>
      <c r="G377" s="9" t="str">
        <f t="array" ref="G377">IFERROR(INDEX(Data!D:D, MATCH($E377, Data!$B:$B, 0)), "")</f>
        <v/>
      </c>
      <c r="H377" s="9" t="str">
        <f t="array" ref="H377">IFERROR(INDEX(Data!E:E, MATCH($E377, Data!$B:$B, 0)), "")</f>
        <v/>
      </c>
      <c r="I377" s="9" t="str">
        <f t="shared" si="1"/>
        <v/>
      </c>
      <c r="J377" s="9" t="str">
        <f t="shared" si="2"/>
        <v>#REF!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12">
        <v>376.0</v>
      </c>
      <c r="B378" s="13">
        <v>376.0</v>
      </c>
      <c r="C378" s="9" t="str">
        <f t="array" ref="C378">IFERROR(INDEX(Data!F:F, MATCH($E378, Data!$B:$B, 0)), "")</f>
        <v/>
      </c>
      <c r="D378" s="9" t="str">
        <f t="array" ref="D378">IFERROR(INDEX(Data!A:A, MATCH($E378, Data!$B:$B, 0)), "")</f>
        <v/>
      </c>
      <c r="E378" s="9" t="str">
        <f>LARGE(Data!$B$2:$B1000,A378 )</f>
        <v>#NUM!</v>
      </c>
      <c r="F378" s="9" t="str">
        <f t="array" ref="F378">IFERROR(INDEX(Data!C:C, MATCH($E378, Data!$B:$B, 0)), "")</f>
        <v/>
      </c>
      <c r="G378" s="9" t="str">
        <f t="array" ref="G378">IFERROR(INDEX(Data!D:D, MATCH($E378, Data!$B:$B, 0)), "")</f>
        <v/>
      </c>
      <c r="H378" s="9" t="str">
        <f t="array" ref="H378">IFERROR(INDEX(Data!E:E, MATCH($E378, Data!$B:$B, 0)), "")</f>
        <v/>
      </c>
      <c r="I378" s="9" t="str">
        <f t="shared" si="1"/>
        <v/>
      </c>
      <c r="J378" s="9" t="str">
        <f t="shared" si="2"/>
        <v>#REF!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12">
        <v>377.0</v>
      </c>
      <c r="B379" s="13">
        <v>377.0</v>
      </c>
      <c r="C379" s="9" t="str">
        <f t="array" ref="C379">IFERROR(INDEX(Data!F:F, MATCH($E379, Data!$B:$B, 0)), "")</f>
        <v/>
      </c>
      <c r="D379" s="9" t="str">
        <f t="array" ref="D379">IFERROR(INDEX(Data!A:A, MATCH($E379, Data!$B:$B, 0)), "")</f>
        <v/>
      </c>
      <c r="E379" s="9" t="str">
        <f>LARGE(Data!$B$2:$B1000,A379 )</f>
        <v>#NUM!</v>
      </c>
      <c r="F379" s="9" t="str">
        <f t="array" ref="F379">IFERROR(INDEX(Data!C:C, MATCH($E379, Data!$B:$B, 0)), "")</f>
        <v/>
      </c>
      <c r="G379" s="9" t="str">
        <f t="array" ref="G379">IFERROR(INDEX(Data!D:D, MATCH($E379, Data!$B:$B, 0)), "")</f>
        <v/>
      </c>
      <c r="H379" s="9" t="str">
        <f t="array" ref="H379">IFERROR(INDEX(Data!E:E, MATCH($E379, Data!$B:$B, 0)), "")</f>
        <v/>
      </c>
      <c r="I379" s="9" t="str">
        <f t="shared" si="1"/>
        <v/>
      </c>
      <c r="J379" s="9" t="str">
        <f t="shared" si="2"/>
        <v>#REF!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12">
        <v>378.0</v>
      </c>
      <c r="B380" s="13">
        <v>378.0</v>
      </c>
      <c r="C380" s="9" t="str">
        <f t="array" ref="C380">IFERROR(INDEX(Data!F:F, MATCH($E380, Data!$B:$B, 0)), "")</f>
        <v/>
      </c>
      <c r="D380" s="9" t="str">
        <f t="array" ref="D380">IFERROR(INDEX(Data!A:A, MATCH($E380, Data!$B:$B, 0)), "")</f>
        <v/>
      </c>
      <c r="E380" s="9" t="str">
        <f>LARGE(Data!$B$2:$B1000,A380 )</f>
        <v>#NUM!</v>
      </c>
      <c r="F380" s="9" t="str">
        <f t="array" ref="F380">IFERROR(INDEX(Data!C:C, MATCH($E380, Data!$B:$B, 0)), "")</f>
        <v/>
      </c>
      <c r="G380" s="9" t="str">
        <f t="array" ref="G380">IFERROR(INDEX(Data!D:D, MATCH($E380, Data!$B:$B, 0)), "")</f>
        <v/>
      </c>
      <c r="H380" s="9" t="str">
        <f t="array" ref="H380">IFERROR(INDEX(Data!E:E, MATCH($E380, Data!$B:$B, 0)), "")</f>
        <v/>
      </c>
      <c r="I380" s="9" t="str">
        <f t="shared" si="1"/>
        <v/>
      </c>
      <c r="J380" s="9" t="str">
        <f t="shared" si="2"/>
        <v>#REF!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12">
        <v>379.0</v>
      </c>
      <c r="B381" s="13">
        <v>379.0</v>
      </c>
      <c r="C381" s="9" t="str">
        <f t="array" ref="C381">IFERROR(INDEX(Data!F:F, MATCH($E381, Data!$B:$B, 0)), "")</f>
        <v/>
      </c>
      <c r="D381" s="9" t="str">
        <f t="array" ref="D381">IFERROR(INDEX(Data!A:A, MATCH($E381, Data!$B:$B, 0)), "")</f>
        <v/>
      </c>
      <c r="E381" s="9" t="str">
        <f>LARGE(Data!$B$2:$B1000,A381 )</f>
        <v>#NUM!</v>
      </c>
      <c r="F381" s="9" t="str">
        <f t="array" ref="F381">IFERROR(INDEX(Data!C:C, MATCH($E381, Data!$B:$B, 0)), "")</f>
        <v/>
      </c>
      <c r="G381" s="9" t="str">
        <f t="array" ref="G381">IFERROR(INDEX(Data!D:D, MATCH($E381, Data!$B:$B, 0)), "")</f>
        <v/>
      </c>
      <c r="H381" s="9" t="str">
        <f t="array" ref="H381">IFERROR(INDEX(Data!E:E, MATCH($E381, Data!$B:$B, 0)), "")</f>
        <v/>
      </c>
      <c r="I381" s="9" t="str">
        <f t="shared" si="1"/>
        <v/>
      </c>
      <c r="J381" s="9" t="str">
        <f t="shared" si="2"/>
        <v>#REF!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12">
        <v>380.0</v>
      </c>
      <c r="B382" s="13">
        <v>380.0</v>
      </c>
      <c r="C382" s="9" t="str">
        <f t="array" ref="C382">IFERROR(INDEX(Data!F:F, MATCH($E382, Data!$B:$B, 0)), "")</f>
        <v/>
      </c>
      <c r="D382" s="9" t="str">
        <f t="array" ref="D382">IFERROR(INDEX(Data!A:A, MATCH($E382, Data!$B:$B, 0)), "")</f>
        <v/>
      </c>
      <c r="E382" s="9" t="str">
        <f>LARGE(Data!$B$2:$B1000,A382 )</f>
        <v>#NUM!</v>
      </c>
      <c r="F382" s="9" t="str">
        <f t="array" ref="F382">IFERROR(INDEX(Data!C:C, MATCH($E382, Data!$B:$B, 0)), "")</f>
        <v/>
      </c>
      <c r="G382" s="9" t="str">
        <f t="array" ref="G382">IFERROR(INDEX(Data!D:D, MATCH($E382, Data!$B:$B, 0)), "")</f>
        <v/>
      </c>
      <c r="H382" s="9" t="str">
        <f t="array" ref="H382">IFERROR(INDEX(Data!E:E, MATCH($E382, Data!$B:$B, 0)), "")</f>
        <v/>
      </c>
      <c r="I382" s="9" t="str">
        <f t="shared" si="1"/>
        <v/>
      </c>
      <c r="J382" s="9" t="str">
        <f t="shared" si="2"/>
        <v>#REF!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12">
        <v>381.0</v>
      </c>
      <c r="B383" s="13">
        <v>381.0</v>
      </c>
      <c r="C383" s="9" t="str">
        <f t="array" ref="C383">IFERROR(INDEX(Data!F:F, MATCH($E383, Data!$B:$B, 0)), "")</f>
        <v/>
      </c>
      <c r="D383" s="9" t="str">
        <f t="array" ref="D383">IFERROR(INDEX(Data!A:A, MATCH($E383, Data!$B:$B, 0)), "")</f>
        <v/>
      </c>
      <c r="E383" s="9" t="str">
        <f>LARGE(Data!$B$2:$B1000,A383 )</f>
        <v>#NUM!</v>
      </c>
      <c r="F383" s="9" t="str">
        <f t="array" ref="F383">IFERROR(INDEX(Data!C:C, MATCH($E383, Data!$B:$B, 0)), "")</f>
        <v/>
      </c>
      <c r="G383" s="9" t="str">
        <f t="array" ref="G383">IFERROR(INDEX(Data!D:D, MATCH($E383, Data!$B:$B, 0)), "")</f>
        <v/>
      </c>
      <c r="H383" s="9" t="str">
        <f t="array" ref="H383">IFERROR(INDEX(Data!E:E, MATCH($E383, Data!$B:$B, 0)), "")</f>
        <v/>
      </c>
      <c r="I383" s="9" t="str">
        <f t="shared" si="1"/>
        <v/>
      </c>
      <c r="J383" s="9" t="str">
        <f t="shared" si="2"/>
        <v>#REF!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12">
        <v>382.0</v>
      </c>
      <c r="B384" s="13">
        <v>382.0</v>
      </c>
      <c r="C384" s="9" t="str">
        <f t="array" ref="C384">IFERROR(INDEX(Data!F:F, MATCH($E384, Data!$B:$B, 0)), "")</f>
        <v/>
      </c>
      <c r="D384" s="9" t="str">
        <f t="array" ref="D384">IFERROR(INDEX(Data!A:A, MATCH($E384, Data!$B:$B, 0)), "")</f>
        <v/>
      </c>
      <c r="E384" s="9" t="str">
        <f>LARGE(Data!$B$2:$B1000,A384 )</f>
        <v>#NUM!</v>
      </c>
      <c r="F384" s="9" t="str">
        <f t="array" ref="F384">IFERROR(INDEX(Data!C:C, MATCH($E384, Data!$B:$B, 0)), "")</f>
        <v/>
      </c>
      <c r="G384" s="9" t="str">
        <f t="array" ref="G384">IFERROR(INDEX(Data!D:D, MATCH($E384, Data!$B:$B, 0)), "")</f>
        <v/>
      </c>
      <c r="H384" s="9" t="str">
        <f t="array" ref="H384">IFERROR(INDEX(Data!E:E, MATCH($E384, Data!$B:$B, 0)), "")</f>
        <v/>
      </c>
      <c r="I384" s="9" t="str">
        <f t="shared" si="1"/>
        <v/>
      </c>
      <c r="J384" s="9" t="str">
        <f t="shared" si="2"/>
        <v>#REF!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12">
        <v>383.0</v>
      </c>
      <c r="B385" s="13">
        <v>383.0</v>
      </c>
      <c r="C385" s="9" t="str">
        <f t="array" ref="C385">IFERROR(INDEX(Data!F:F, MATCH($E385, Data!$B:$B, 0)), "")</f>
        <v/>
      </c>
      <c r="D385" s="9" t="str">
        <f t="array" ref="D385">IFERROR(INDEX(Data!A:A, MATCH($E385, Data!$B:$B, 0)), "")</f>
        <v/>
      </c>
      <c r="E385" s="9" t="str">
        <f>LARGE(Data!$B$2:$B1000,A385 )</f>
        <v>#NUM!</v>
      </c>
      <c r="F385" s="9" t="str">
        <f t="array" ref="F385">IFERROR(INDEX(Data!C:C, MATCH($E385, Data!$B:$B, 0)), "")</f>
        <v/>
      </c>
      <c r="G385" s="9" t="str">
        <f t="array" ref="G385">IFERROR(INDEX(Data!D:D, MATCH($E385, Data!$B:$B, 0)), "")</f>
        <v/>
      </c>
      <c r="H385" s="9" t="str">
        <f t="array" ref="H385">IFERROR(INDEX(Data!E:E, MATCH($E385, Data!$B:$B, 0)), "")</f>
        <v/>
      </c>
      <c r="I385" s="9" t="str">
        <f t="shared" si="1"/>
        <v/>
      </c>
      <c r="J385" s="9" t="str">
        <f t="shared" si="2"/>
        <v>#REF!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12">
        <v>384.0</v>
      </c>
      <c r="B386" s="13">
        <v>384.0</v>
      </c>
      <c r="C386" s="9" t="str">
        <f t="array" ref="C386">IFERROR(INDEX(Data!F:F, MATCH($E386, Data!$B:$B, 0)), "")</f>
        <v/>
      </c>
      <c r="D386" s="9" t="str">
        <f t="array" ref="D386">IFERROR(INDEX(Data!A:A, MATCH($E386, Data!$B:$B, 0)), "")</f>
        <v/>
      </c>
      <c r="E386" s="9" t="str">
        <f>LARGE(Data!$B$2:$B1000,A386 )</f>
        <v>#NUM!</v>
      </c>
      <c r="F386" s="9" t="str">
        <f t="array" ref="F386">IFERROR(INDEX(Data!C:C, MATCH($E386, Data!$B:$B, 0)), "")</f>
        <v/>
      </c>
      <c r="G386" s="9" t="str">
        <f t="array" ref="G386">IFERROR(INDEX(Data!D:D, MATCH($E386, Data!$B:$B, 0)), "")</f>
        <v/>
      </c>
      <c r="H386" s="9" t="str">
        <f t="array" ref="H386">IFERROR(INDEX(Data!E:E, MATCH($E386, Data!$B:$B, 0)), "")</f>
        <v/>
      </c>
      <c r="I386" s="9" t="str">
        <f t="shared" si="1"/>
        <v/>
      </c>
      <c r="J386" s="9" t="str">
        <f t="shared" si="2"/>
        <v>#REF!</v>
      </c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12">
        <v>385.0</v>
      </c>
      <c r="B387" s="13">
        <v>385.0</v>
      </c>
      <c r="C387" s="9" t="str">
        <f t="array" ref="C387">IFERROR(INDEX(Data!F:F, MATCH($E387, Data!$B:$B, 0)), "")</f>
        <v/>
      </c>
      <c r="D387" s="9" t="str">
        <f t="array" ref="D387">IFERROR(INDEX(Data!A:A, MATCH($E387, Data!$B:$B, 0)), "")</f>
        <v/>
      </c>
      <c r="E387" s="9" t="str">
        <f>LARGE(Data!$B$2:$B1000,A387 )</f>
        <v>#NUM!</v>
      </c>
      <c r="F387" s="9" t="str">
        <f t="array" ref="F387">IFERROR(INDEX(Data!C:C, MATCH($E387, Data!$B:$B, 0)), "")</f>
        <v/>
      </c>
      <c r="G387" s="9" t="str">
        <f t="array" ref="G387">IFERROR(INDEX(Data!D:D, MATCH($E387, Data!$B:$B, 0)), "")</f>
        <v/>
      </c>
      <c r="H387" s="9" t="str">
        <f t="array" ref="H387">IFERROR(INDEX(Data!E:E, MATCH($E387, Data!$B:$B, 0)), "")</f>
        <v/>
      </c>
      <c r="I387" s="9" t="str">
        <f t="shared" si="1"/>
        <v/>
      </c>
      <c r="J387" s="9" t="str">
        <f t="shared" si="2"/>
        <v>#REF!</v>
      </c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12">
        <v>386.0</v>
      </c>
      <c r="B388" s="13">
        <v>386.0</v>
      </c>
      <c r="C388" s="9" t="str">
        <f t="array" ref="C388">IFERROR(INDEX(Data!F:F, MATCH($E388, Data!$B:$B, 0)), "")</f>
        <v/>
      </c>
      <c r="D388" s="9" t="str">
        <f t="array" ref="D388">IFERROR(INDEX(Data!A:A, MATCH($E388, Data!$B:$B, 0)), "")</f>
        <v/>
      </c>
      <c r="E388" s="9" t="str">
        <f>LARGE(Data!$B$2:$B1000,A388 )</f>
        <v>#NUM!</v>
      </c>
      <c r="F388" s="9" t="str">
        <f t="array" ref="F388">IFERROR(INDEX(Data!C:C, MATCH($E388, Data!$B:$B, 0)), "")</f>
        <v/>
      </c>
      <c r="G388" s="9" t="str">
        <f t="array" ref="G388">IFERROR(INDEX(Data!D:D, MATCH($E388, Data!$B:$B, 0)), "")</f>
        <v/>
      </c>
      <c r="H388" s="9" t="str">
        <f t="array" ref="H388">IFERROR(INDEX(Data!E:E, MATCH($E388, Data!$B:$B, 0)), "")</f>
        <v/>
      </c>
      <c r="I388" s="9" t="str">
        <f t="shared" si="1"/>
        <v/>
      </c>
      <c r="J388" s="9" t="str">
        <f t="shared" si="2"/>
        <v>#REF!</v>
      </c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12">
        <v>387.0</v>
      </c>
      <c r="B389" s="13">
        <v>387.0</v>
      </c>
      <c r="C389" s="9" t="str">
        <f t="array" ref="C389">IFERROR(INDEX(Data!F:F, MATCH($E389, Data!$B:$B, 0)), "")</f>
        <v/>
      </c>
      <c r="D389" s="9" t="str">
        <f t="array" ref="D389">IFERROR(INDEX(Data!A:A, MATCH($E389, Data!$B:$B, 0)), "")</f>
        <v/>
      </c>
      <c r="E389" s="9" t="str">
        <f>LARGE(Data!$B$2:$B1000,A389 )</f>
        <v>#NUM!</v>
      </c>
      <c r="F389" s="9" t="str">
        <f t="array" ref="F389">IFERROR(INDEX(Data!C:C, MATCH($E389, Data!$B:$B, 0)), "")</f>
        <v/>
      </c>
      <c r="G389" s="9" t="str">
        <f t="array" ref="G389">IFERROR(INDEX(Data!D:D, MATCH($E389, Data!$B:$B, 0)), "")</f>
        <v/>
      </c>
      <c r="H389" s="9" t="str">
        <f t="array" ref="H389">IFERROR(INDEX(Data!E:E, MATCH($E389, Data!$B:$B, 0)), "")</f>
        <v/>
      </c>
      <c r="I389" s="9" t="str">
        <f t="shared" si="1"/>
        <v/>
      </c>
      <c r="J389" s="9" t="str">
        <f t="shared" si="2"/>
        <v>#REF!</v>
      </c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12">
        <v>388.0</v>
      </c>
      <c r="B390" s="13">
        <v>388.0</v>
      </c>
      <c r="C390" s="9" t="str">
        <f t="array" ref="C390">IFERROR(INDEX(Data!F:F, MATCH($E390, Data!$B:$B, 0)), "")</f>
        <v/>
      </c>
      <c r="D390" s="9" t="str">
        <f t="array" ref="D390">IFERROR(INDEX(Data!A:A, MATCH($E390, Data!$B:$B, 0)), "")</f>
        <v/>
      </c>
      <c r="E390" s="9" t="str">
        <f>LARGE(Data!$B$2:$B1000,A390 )</f>
        <v>#NUM!</v>
      </c>
      <c r="F390" s="9" t="str">
        <f t="array" ref="F390">IFERROR(INDEX(Data!C:C, MATCH($E390, Data!$B:$B, 0)), "")</f>
        <v/>
      </c>
      <c r="G390" s="9" t="str">
        <f t="array" ref="G390">IFERROR(INDEX(Data!D:D, MATCH($E390, Data!$B:$B, 0)), "")</f>
        <v/>
      </c>
      <c r="H390" s="9" t="str">
        <f t="array" ref="H390">IFERROR(INDEX(Data!E:E, MATCH($E390, Data!$B:$B, 0)), "")</f>
        <v/>
      </c>
      <c r="I390" s="9" t="str">
        <f t="shared" si="1"/>
        <v/>
      </c>
      <c r="J390" s="9" t="str">
        <f t="shared" si="2"/>
        <v>#REF!</v>
      </c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12">
        <v>389.0</v>
      </c>
      <c r="B391" s="13">
        <v>389.0</v>
      </c>
      <c r="C391" s="9" t="str">
        <f t="array" ref="C391">IFERROR(INDEX(Data!F:F, MATCH($E391, Data!$B:$B, 0)), "")</f>
        <v/>
      </c>
      <c r="D391" s="9" t="str">
        <f t="array" ref="D391">IFERROR(INDEX(Data!A:A, MATCH($E391, Data!$B:$B, 0)), "")</f>
        <v/>
      </c>
      <c r="E391" s="9" t="str">
        <f>LARGE(Data!$B$2:$B1000,A391 )</f>
        <v>#NUM!</v>
      </c>
      <c r="F391" s="9" t="str">
        <f t="array" ref="F391">IFERROR(INDEX(Data!C:C, MATCH($E391, Data!$B:$B, 0)), "")</f>
        <v/>
      </c>
      <c r="G391" s="9" t="str">
        <f t="array" ref="G391">IFERROR(INDEX(Data!D:D, MATCH($E391, Data!$B:$B, 0)), "")</f>
        <v/>
      </c>
      <c r="H391" s="9" t="str">
        <f t="array" ref="H391">IFERROR(INDEX(Data!E:E, MATCH($E391, Data!$B:$B, 0)), "")</f>
        <v/>
      </c>
      <c r="I391" s="9" t="str">
        <f t="shared" si="1"/>
        <v/>
      </c>
      <c r="J391" s="9" t="str">
        <f t="shared" si="2"/>
        <v>#REF!</v>
      </c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12">
        <v>390.0</v>
      </c>
      <c r="B392" s="13">
        <v>390.0</v>
      </c>
      <c r="C392" s="9" t="str">
        <f t="array" ref="C392">IFERROR(INDEX(Data!F:F, MATCH($E392, Data!$B:$B, 0)), "")</f>
        <v/>
      </c>
      <c r="D392" s="9" t="str">
        <f t="array" ref="D392">IFERROR(INDEX(Data!A:A, MATCH($E392, Data!$B:$B, 0)), "")</f>
        <v/>
      </c>
      <c r="E392" s="9" t="str">
        <f>LARGE(Data!$B$2:$B1000,A392 )</f>
        <v>#NUM!</v>
      </c>
      <c r="F392" s="9" t="str">
        <f t="array" ref="F392">IFERROR(INDEX(Data!C:C, MATCH($E392, Data!$B:$B, 0)), "")</f>
        <v/>
      </c>
      <c r="G392" s="9" t="str">
        <f t="array" ref="G392">IFERROR(INDEX(Data!D:D, MATCH($E392, Data!$B:$B, 0)), "")</f>
        <v/>
      </c>
      <c r="H392" s="9" t="str">
        <f t="array" ref="H392">IFERROR(INDEX(Data!E:E, MATCH($E392, Data!$B:$B, 0)), "")</f>
        <v/>
      </c>
      <c r="I392" s="9" t="str">
        <f t="shared" si="1"/>
        <v/>
      </c>
      <c r="J392" s="9" t="str">
        <f t="shared" si="2"/>
        <v>#REF!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12">
        <v>391.0</v>
      </c>
      <c r="B393" s="13">
        <v>391.0</v>
      </c>
      <c r="C393" s="9" t="str">
        <f t="array" ref="C393">IFERROR(INDEX(Data!F:F, MATCH($E393, Data!$B:$B, 0)), "")</f>
        <v/>
      </c>
      <c r="D393" s="9" t="str">
        <f t="array" ref="D393">IFERROR(INDEX(Data!A:A, MATCH($E393, Data!$B:$B, 0)), "")</f>
        <v/>
      </c>
      <c r="E393" s="9" t="str">
        <f>LARGE(Data!$B$2:$B1000,A393 )</f>
        <v>#NUM!</v>
      </c>
      <c r="F393" s="9" t="str">
        <f t="array" ref="F393">IFERROR(INDEX(Data!C:C, MATCH($E393, Data!$B:$B, 0)), "")</f>
        <v/>
      </c>
      <c r="G393" s="9" t="str">
        <f t="array" ref="G393">IFERROR(INDEX(Data!D:D, MATCH($E393, Data!$B:$B, 0)), "")</f>
        <v/>
      </c>
      <c r="H393" s="9" t="str">
        <f t="array" ref="H393">IFERROR(INDEX(Data!E:E, MATCH($E393, Data!$B:$B, 0)), "")</f>
        <v/>
      </c>
      <c r="I393" s="9" t="str">
        <f t="shared" si="1"/>
        <v/>
      </c>
      <c r="J393" s="9" t="str">
        <f t="shared" si="2"/>
        <v>#REF!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12">
        <v>392.0</v>
      </c>
      <c r="B394" s="13">
        <v>392.0</v>
      </c>
      <c r="C394" s="9" t="str">
        <f t="array" ref="C394">IFERROR(INDEX(Data!F:F, MATCH($E394, Data!$B:$B, 0)), "")</f>
        <v/>
      </c>
      <c r="D394" s="9" t="str">
        <f t="array" ref="D394">IFERROR(INDEX(Data!A:A, MATCH($E394, Data!$B:$B, 0)), "")</f>
        <v/>
      </c>
      <c r="E394" s="9" t="str">
        <f>LARGE(Data!$B$2:$B1000,A394 )</f>
        <v>#NUM!</v>
      </c>
      <c r="F394" s="9" t="str">
        <f t="array" ref="F394">IFERROR(INDEX(Data!C:C, MATCH($E394, Data!$B:$B, 0)), "")</f>
        <v/>
      </c>
      <c r="G394" s="9" t="str">
        <f t="array" ref="G394">IFERROR(INDEX(Data!D:D, MATCH($E394, Data!$B:$B, 0)), "")</f>
        <v/>
      </c>
      <c r="H394" s="9" t="str">
        <f t="array" ref="H394">IFERROR(INDEX(Data!E:E, MATCH($E394, Data!$B:$B, 0)), "")</f>
        <v/>
      </c>
      <c r="I394" s="9" t="str">
        <f t="shared" si="1"/>
        <v/>
      </c>
      <c r="J394" s="9" t="str">
        <f t="shared" si="2"/>
        <v>#REF!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12">
        <v>393.0</v>
      </c>
      <c r="B395" s="13">
        <v>393.0</v>
      </c>
      <c r="C395" s="9" t="str">
        <f t="array" ref="C395">IFERROR(INDEX(Data!F:F, MATCH($E395, Data!$B:$B, 0)), "")</f>
        <v/>
      </c>
      <c r="D395" s="9" t="str">
        <f t="array" ref="D395">IFERROR(INDEX(Data!A:A, MATCH($E395, Data!$B:$B, 0)), "")</f>
        <v/>
      </c>
      <c r="E395" s="9" t="str">
        <f>LARGE(Data!$B$2:$B1000,A395 )</f>
        <v>#NUM!</v>
      </c>
      <c r="F395" s="9" t="str">
        <f t="array" ref="F395">IFERROR(INDEX(Data!C:C, MATCH($E395, Data!$B:$B, 0)), "")</f>
        <v/>
      </c>
      <c r="G395" s="9" t="str">
        <f t="array" ref="G395">IFERROR(INDEX(Data!D:D, MATCH($E395, Data!$B:$B, 0)), "")</f>
        <v/>
      </c>
      <c r="H395" s="9" t="str">
        <f t="array" ref="H395">IFERROR(INDEX(Data!E:E, MATCH($E395, Data!$B:$B, 0)), "")</f>
        <v/>
      </c>
      <c r="I395" s="9" t="str">
        <f t="shared" si="1"/>
        <v/>
      </c>
      <c r="J395" s="9" t="str">
        <f t="shared" si="2"/>
        <v>#REF!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12">
        <v>394.0</v>
      </c>
      <c r="B396" s="13">
        <v>394.0</v>
      </c>
      <c r="C396" s="9" t="str">
        <f t="array" ref="C396">IFERROR(INDEX(Data!F:F, MATCH($E396, Data!$B:$B, 0)), "")</f>
        <v/>
      </c>
      <c r="D396" s="9" t="str">
        <f t="array" ref="D396">IFERROR(INDEX(Data!A:A, MATCH($E396, Data!$B:$B, 0)), "")</f>
        <v/>
      </c>
      <c r="E396" s="9" t="str">
        <f>LARGE(Data!$B$2:$B1000,A396 )</f>
        <v>#NUM!</v>
      </c>
      <c r="F396" s="9" t="str">
        <f t="array" ref="F396">IFERROR(INDEX(Data!C:C, MATCH($E396, Data!$B:$B, 0)), "")</f>
        <v/>
      </c>
      <c r="G396" s="9" t="str">
        <f t="array" ref="G396">IFERROR(INDEX(Data!D:D, MATCH($E396, Data!$B:$B, 0)), "")</f>
        <v/>
      </c>
      <c r="H396" s="9" t="str">
        <f t="array" ref="H396">IFERROR(INDEX(Data!E:E, MATCH($E396, Data!$B:$B, 0)), "")</f>
        <v/>
      </c>
      <c r="I396" s="9" t="str">
        <f t="shared" si="1"/>
        <v/>
      </c>
      <c r="J396" s="9" t="str">
        <f t="shared" si="2"/>
        <v>#REF!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12">
        <v>395.0</v>
      </c>
      <c r="B397" s="13">
        <v>395.0</v>
      </c>
      <c r="C397" s="9" t="str">
        <f t="array" ref="C397">IFERROR(INDEX(Data!F:F, MATCH($E397, Data!$B:$B, 0)), "")</f>
        <v/>
      </c>
      <c r="D397" s="9" t="str">
        <f t="array" ref="D397">IFERROR(INDEX(Data!A:A, MATCH($E397, Data!$B:$B, 0)), "")</f>
        <v/>
      </c>
      <c r="E397" s="9" t="str">
        <f>LARGE(Data!$B$2:$B1000,A397 )</f>
        <v>#NUM!</v>
      </c>
      <c r="F397" s="9" t="str">
        <f t="array" ref="F397">IFERROR(INDEX(Data!C:C, MATCH($E397, Data!$B:$B, 0)), "")</f>
        <v/>
      </c>
      <c r="G397" s="9" t="str">
        <f t="array" ref="G397">IFERROR(INDEX(Data!D:D, MATCH($E397, Data!$B:$B, 0)), "")</f>
        <v/>
      </c>
      <c r="H397" s="9" t="str">
        <f t="array" ref="H397">IFERROR(INDEX(Data!E:E, MATCH($E397, Data!$B:$B, 0)), "")</f>
        <v/>
      </c>
      <c r="I397" s="9" t="str">
        <f t="shared" si="1"/>
        <v/>
      </c>
      <c r="J397" s="9" t="str">
        <f t="shared" si="2"/>
        <v>#REF!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12">
        <v>396.0</v>
      </c>
      <c r="B398" s="13">
        <v>396.0</v>
      </c>
      <c r="C398" s="9" t="str">
        <f t="array" ref="C398">IFERROR(INDEX(Data!F:F, MATCH($E398, Data!$B:$B, 0)), "")</f>
        <v/>
      </c>
      <c r="D398" s="9" t="str">
        <f t="array" ref="D398">IFERROR(INDEX(Data!A:A, MATCH($E398, Data!$B:$B, 0)), "")</f>
        <v/>
      </c>
      <c r="E398" s="9" t="str">
        <f>LARGE(Data!$B$2:$B1000,A398 )</f>
        <v>#NUM!</v>
      </c>
      <c r="F398" s="9" t="str">
        <f t="array" ref="F398">IFERROR(INDEX(Data!C:C, MATCH($E398, Data!$B:$B, 0)), "")</f>
        <v/>
      </c>
      <c r="G398" s="9" t="str">
        <f t="array" ref="G398">IFERROR(INDEX(Data!D:D, MATCH($E398, Data!$B:$B, 0)), "")</f>
        <v/>
      </c>
      <c r="H398" s="9" t="str">
        <f t="array" ref="H398">IFERROR(INDEX(Data!E:E, MATCH($E398, Data!$B:$B, 0)), "")</f>
        <v/>
      </c>
      <c r="I398" s="9" t="str">
        <f t="shared" si="1"/>
        <v/>
      </c>
      <c r="J398" s="9" t="str">
        <f t="shared" si="2"/>
        <v>#REF!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12">
        <v>397.0</v>
      </c>
      <c r="B399" s="13">
        <v>397.0</v>
      </c>
      <c r="C399" s="9" t="str">
        <f t="array" ref="C399">IFERROR(INDEX(Data!F:F, MATCH($E399, Data!$B:$B, 0)), "")</f>
        <v/>
      </c>
      <c r="D399" s="9" t="str">
        <f t="array" ref="D399">IFERROR(INDEX(Data!A:A, MATCH($E399, Data!$B:$B, 0)), "")</f>
        <v/>
      </c>
      <c r="E399" s="9" t="str">
        <f>LARGE(Data!$B$2:$B1000,A399 )</f>
        <v>#NUM!</v>
      </c>
      <c r="F399" s="9" t="str">
        <f t="array" ref="F399">IFERROR(INDEX(Data!C:C, MATCH($E399, Data!$B:$B, 0)), "")</f>
        <v/>
      </c>
      <c r="G399" s="9" t="str">
        <f t="array" ref="G399">IFERROR(INDEX(Data!D:D, MATCH($E399, Data!$B:$B, 0)), "")</f>
        <v/>
      </c>
      <c r="H399" s="9" t="str">
        <f t="array" ref="H399">IFERROR(INDEX(Data!E:E, MATCH($E399, Data!$B:$B, 0)), "")</f>
        <v/>
      </c>
      <c r="I399" s="9" t="str">
        <f t="shared" si="1"/>
        <v/>
      </c>
      <c r="J399" s="9" t="str">
        <f t="shared" si="2"/>
        <v>#REF!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12">
        <v>398.0</v>
      </c>
      <c r="B400" s="13">
        <v>398.0</v>
      </c>
      <c r="C400" s="9" t="str">
        <f t="array" ref="C400">IFERROR(INDEX(Data!F:F, MATCH($E400, Data!$B:$B, 0)), "")</f>
        <v/>
      </c>
      <c r="D400" s="9" t="str">
        <f t="array" ref="D400">IFERROR(INDEX(Data!A:A, MATCH($E400, Data!$B:$B, 0)), "")</f>
        <v/>
      </c>
      <c r="E400" s="9" t="str">
        <f>LARGE(Data!$B$2:$B1000,A400 )</f>
        <v>#NUM!</v>
      </c>
      <c r="F400" s="9" t="str">
        <f t="array" ref="F400">IFERROR(INDEX(Data!C:C, MATCH($E400, Data!$B:$B, 0)), "")</f>
        <v/>
      </c>
      <c r="G400" s="9" t="str">
        <f t="array" ref="G400">IFERROR(INDEX(Data!D:D, MATCH($E400, Data!$B:$B, 0)), "")</f>
        <v/>
      </c>
      <c r="H400" s="9" t="str">
        <f t="array" ref="H400">IFERROR(INDEX(Data!E:E, MATCH($E400, Data!$B:$B, 0)), "")</f>
        <v/>
      </c>
      <c r="I400" s="9" t="str">
        <f t="shared" si="1"/>
        <v/>
      </c>
      <c r="J400" s="9" t="str">
        <f t="shared" si="2"/>
        <v>#REF!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12">
        <v>399.0</v>
      </c>
      <c r="B401" s="13">
        <v>399.0</v>
      </c>
      <c r="C401" s="9" t="str">
        <f t="array" ref="C401">IFERROR(INDEX(Data!F:F, MATCH($E401, Data!$B:$B, 0)), "")</f>
        <v/>
      </c>
      <c r="D401" s="9" t="str">
        <f t="array" ref="D401">IFERROR(INDEX(Data!A:A, MATCH($E401, Data!$B:$B, 0)), "")</f>
        <v/>
      </c>
      <c r="E401" s="9" t="str">
        <f>LARGE(Data!$B$2:$B1000,A401 )</f>
        <v>#NUM!</v>
      </c>
      <c r="F401" s="9" t="str">
        <f t="array" ref="F401">IFERROR(INDEX(Data!C:C, MATCH($E401, Data!$B:$B, 0)), "")</f>
        <v/>
      </c>
      <c r="G401" s="9" t="str">
        <f t="array" ref="G401">IFERROR(INDEX(Data!D:D, MATCH($E401, Data!$B:$B, 0)), "")</f>
        <v/>
      </c>
      <c r="H401" s="9" t="str">
        <f t="array" ref="H401">IFERROR(INDEX(Data!E:E, MATCH($E401, Data!$B:$B, 0)), "")</f>
        <v/>
      </c>
      <c r="I401" s="9" t="str">
        <f t="shared" si="1"/>
        <v/>
      </c>
      <c r="J401" s="9" t="str">
        <f t="shared" si="2"/>
        <v>#REF!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12">
        <v>400.0</v>
      </c>
      <c r="B402" s="13">
        <v>400.0</v>
      </c>
      <c r="C402" s="9" t="str">
        <f t="array" ref="C402">IFERROR(INDEX(Data!F:F, MATCH($E402, Data!$B:$B, 0)), "")</f>
        <v/>
      </c>
      <c r="D402" s="9" t="str">
        <f t="array" ref="D402">IFERROR(INDEX(Data!A:A, MATCH($E402, Data!$B:$B, 0)), "")</f>
        <v/>
      </c>
      <c r="E402" s="9" t="str">
        <f>LARGE(Data!$B$2:$B1000,A402 )</f>
        <v>#NUM!</v>
      </c>
      <c r="F402" s="9" t="str">
        <f t="array" ref="F402">IFERROR(INDEX(Data!C:C, MATCH($E402, Data!$B:$B, 0)), "")</f>
        <v/>
      </c>
      <c r="G402" s="9" t="str">
        <f t="array" ref="G402">IFERROR(INDEX(Data!D:D, MATCH($E402, Data!$B:$B, 0)), "")</f>
        <v/>
      </c>
      <c r="H402" s="9" t="str">
        <f t="array" ref="H402">IFERROR(INDEX(Data!E:E, MATCH($E402, Data!$B:$B, 0)), "")</f>
        <v/>
      </c>
      <c r="I402" s="9" t="str">
        <f t="shared" si="1"/>
        <v/>
      </c>
      <c r="J402" s="9" t="str">
        <f t="shared" si="2"/>
        <v>#REF!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12">
        <v>401.0</v>
      </c>
      <c r="B403" s="13">
        <v>401.0</v>
      </c>
      <c r="C403" s="9" t="str">
        <f t="array" ref="C403">IFERROR(INDEX(Data!F:F, MATCH($E403, Data!$B:$B, 0)), "")</f>
        <v/>
      </c>
      <c r="D403" s="9" t="str">
        <f t="array" ref="D403">IFERROR(INDEX(Data!A:A, MATCH($E403, Data!$B:$B, 0)), "")</f>
        <v/>
      </c>
      <c r="E403" s="9" t="str">
        <f>LARGE(Data!$B$2:$B1000,A403 )</f>
        <v>#NUM!</v>
      </c>
      <c r="F403" s="9" t="str">
        <f t="array" ref="F403">IFERROR(INDEX(Data!C:C, MATCH($E403, Data!$B:$B, 0)), "")</f>
        <v/>
      </c>
      <c r="G403" s="9" t="str">
        <f t="array" ref="G403">IFERROR(INDEX(Data!D:D, MATCH($E403, Data!$B:$B, 0)), "")</f>
        <v/>
      </c>
      <c r="H403" s="9" t="str">
        <f t="array" ref="H403">IFERROR(INDEX(Data!E:E, MATCH($E403, Data!$B:$B, 0)), "")</f>
        <v/>
      </c>
      <c r="I403" s="9" t="str">
        <f t="shared" si="1"/>
        <v/>
      </c>
      <c r="J403" s="9" t="str">
        <f t="shared" si="2"/>
        <v>#REF!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12">
        <v>402.0</v>
      </c>
      <c r="B404" s="13">
        <v>402.0</v>
      </c>
      <c r="C404" s="9" t="str">
        <f t="array" ref="C404">IFERROR(INDEX(Data!F:F, MATCH($E404, Data!$B:$B, 0)), "")</f>
        <v/>
      </c>
      <c r="D404" s="9" t="str">
        <f t="array" ref="D404">IFERROR(INDEX(Data!A:A, MATCH($E404, Data!$B:$B, 0)), "")</f>
        <v/>
      </c>
      <c r="E404" s="9" t="str">
        <f>LARGE(Data!$B$2:$B1000,A404 )</f>
        <v>#NUM!</v>
      </c>
      <c r="F404" s="9" t="str">
        <f t="array" ref="F404">IFERROR(INDEX(Data!C:C, MATCH($E404, Data!$B:$B, 0)), "")</f>
        <v/>
      </c>
      <c r="G404" s="9" t="str">
        <f t="array" ref="G404">IFERROR(INDEX(Data!D:D, MATCH($E404, Data!$B:$B, 0)), "")</f>
        <v/>
      </c>
      <c r="H404" s="9" t="str">
        <f t="array" ref="H404">IFERROR(INDEX(Data!E:E, MATCH($E404, Data!$B:$B, 0)), "")</f>
        <v/>
      </c>
      <c r="I404" s="9" t="str">
        <f t="shared" si="1"/>
        <v/>
      </c>
      <c r="J404" s="9" t="str">
        <f t="shared" si="2"/>
        <v>#REF!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12">
        <v>403.0</v>
      </c>
      <c r="B405" s="13">
        <v>403.0</v>
      </c>
      <c r="C405" s="9" t="str">
        <f t="array" ref="C405">IFERROR(INDEX(Data!F:F, MATCH($E405, Data!$B:$B, 0)), "")</f>
        <v/>
      </c>
      <c r="D405" s="9" t="str">
        <f t="array" ref="D405">IFERROR(INDEX(Data!A:A, MATCH($E405, Data!$B:$B, 0)), "")</f>
        <v/>
      </c>
      <c r="E405" s="9" t="str">
        <f>LARGE(Data!$B$2:$B1000,A405 )</f>
        <v>#NUM!</v>
      </c>
      <c r="F405" s="9" t="str">
        <f t="array" ref="F405">IFERROR(INDEX(Data!C:C, MATCH($E405, Data!$B:$B, 0)), "")</f>
        <v/>
      </c>
      <c r="G405" s="9" t="str">
        <f t="array" ref="G405">IFERROR(INDEX(Data!D:D, MATCH($E405, Data!$B:$B, 0)), "")</f>
        <v/>
      </c>
      <c r="H405" s="9" t="str">
        <f t="array" ref="H405">IFERROR(INDEX(Data!E:E, MATCH($E405, Data!$B:$B, 0)), "")</f>
        <v/>
      </c>
      <c r="I405" s="9" t="str">
        <f t="shared" si="1"/>
        <v/>
      </c>
      <c r="J405" s="9" t="str">
        <f t="shared" si="2"/>
        <v>#REF!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12">
        <v>404.0</v>
      </c>
      <c r="B406" s="13">
        <v>404.0</v>
      </c>
      <c r="C406" s="9" t="str">
        <f t="array" ref="C406">IFERROR(INDEX(Data!F:F, MATCH($E406, Data!$B:$B, 0)), "")</f>
        <v/>
      </c>
      <c r="D406" s="9" t="str">
        <f t="array" ref="D406">IFERROR(INDEX(Data!A:A, MATCH($E406, Data!$B:$B, 0)), "")</f>
        <v/>
      </c>
      <c r="E406" s="9" t="str">
        <f>LARGE(Data!$B$2:$B1000,A406 )</f>
        <v>#NUM!</v>
      </c>
      <c r="F406" s="9" t="str">
        <f t="array" ref="F406">IFERROR(INDEX(Data!C:C, MATCH($E406, Data!$B:$B, 0)), "")</f>
        <v/>
      </c>
      <c r="G406" s="9" t="str">
        <f t="array" ref="G406">IFERROR(INDEX(Data!D:D, MATCH($E406, Data!$B:$B, 0)), "")</f>
        <v/>
      </c>
      <c r="H406" s="9" t="str">
        <f t="array" ref="H406">IFERROR(INDEX(Data!E:E, MATCH($E406, Data!$B:$B, 0)), "")</f>
        <v/>
      </c>
      <c r="I406" s="9" t="str">
        <f t="shared" si="1"/>
        <v/>
      </c>
      <c r="J406" s="9" t="str">
        <f t="shared" si="2"/>
        <v>#REF!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12">
        <v>405.0</v>
      </c>
      <c r="B407" s="13">
        <v>405.0</v>
      </c>
      <c r="C407" s="9" t="str">
        <f t="array" ref="C407">IFERROR(INDEX(Data!F:F, MATCH($E407, Data!$B:$B, 0)), "")</f>
        <v/>
      </c>
      <c r="D407" s="9" t="str">
        <f t="array" ref="D407">IFERROR(INDEX(Data!A:A, MATCH($E407, Data!$B:$B, 0)), "")</f>
        <v/>
      </c>
      <c r="E407" s="9" t="str">
        <f>LARGE(Data!$B$2:$B1000,A407 )</f>
        <v>#NUM!</v>
      </c>
      <c r="F407" s="9" t="str">
        <f t="array" ref="F407">IFERROR(INDEX(Data!C:C, MATCH($E407, Data!$B:$B, 0)), "")</f>
        <v/>
      </c>
      <c r="G407" s="9" t="str">
        <f t="array" ref="G407">IFERROR(INDEX(Data!D:D, MATCH($E407, Data!$B:$B, 0)), "")</f>
        <v/>
      </c>
      <c r="H407" s="9" t="str">
        <f t="array" ref="H407">IFERROR(INDEX(Data!E:E, MATCH($E407, Data!$B:$B, 0)), "")</f>
        <v/>
      </c>
      <c r="I407" s="9" t="str">
        <f t="shared" si="1"/>
        <v/>
      </c>
      <c r="J407" s="9" t="str">
        <f t="shared" si="2"/>
        <v>#REF!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12">
        <v>406.0</v>
      </c>
      <c r="B408" s="13">
        <v>406.0</v>
      </c>
      <c r="C408" s="9" t="str">
        <f t="array" ref="C408">IFERROR(INDEX(Data!F:F, MATCH($E408, Data!$B:$B, 0)), "")</f>
        <v/>
      </c>
      <c r="D408" s="9" t="str">
        <f t="array" ref="D408">IFERROR(INDEX(Data!A:A, MATCH($E408, Data!$B:$B, 0)), "")</f>
        <v/>
      </c>
      <c r="E408" s="9" t="str">
        <f>LARGE(Data!$B$2:$B1000,A408 )</f>
        <v>#NUM!</v>
      </c>
      <c r="F408" s="9" t="str">
        <f t="array" ref="F408">IFERROR(INDEX(Data!C:C, MATCH($E408, Data!$B:$B, 0)), "")</f>
        <v/>
      </c>
      <c r="G408" s="9" t="str">
        <f t="array" ref="G408">IFERROR(INDEX(Data!D:D, MATCH($E408, Data!$B:$B, 0)), "")</f>
        <v/>
      </c>
      <c r="H408" s="9" t="str">
        <f t="array" ref="H408">IFERROR(INDEX(Data!E:E, MATCH($E408, Data!$B:$B, 0)), "")</f>
        <v/>
      </c>
      <c r="I408" s="9" t="str">
        <f t="shared" si="1"/>
        <v/>
      </c>
      <c r="J408" s="9" t="str">
        <f t="shared" si="2"/>
        <v>#REF!</v>
      </c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12">
        <v>407.0</v>
      </c>
      <c r="B409" s="13">
        <v>407.0</v>
      </c>
      <c r="C409" s="9" t="str">
        <f t="array" ref="C409">IFERROR(INDEX(Data!F:F, MATCH($E409, Data!$B:$B, 0)), "")</f>
        <v/>
      </c>
      <c r="D409" s="9" t="str">
        <f t="array" ref="D409">IFERROR(INDEX(Data!A:A, MATCH($E409, Data!$B:$B, 0)), "")</f>
        <v/>
      </c>
      <c r="E409" s="9" t="str">
        <f>LARGE(Data!$B$2:$B1000,A409 )</f>
        <v>#NUM!</v>
      </c>
      <c r="F409" s="9" t="str">
        <f t="array" ref="F409">IFERROR(INDEX(Data!C:C, MATCH($E409, Data!$B:$B, 0)), "")</f>
        <v/>
      </c>
      <c r="G409" s="9" t="str">
        <f t="array" ref="G409">IFERROR(INDEX(Data!D:D, MATCH($E409, Data!$B:$B, 0)), "")</f>
        <v/>
      </c>
      <c r="H409" s="9" t="str">
        <f t="array" ref="H409">IFERROR(INDEX(Data!E:E, MATCH($E409, Data!$B:$B, 0)), "")</f>
        <v/>
      </c>
      <c r="I409" s="9" t="str">
        <f t="shared" si="1"/>
        <v/>
      </c>
      <c r="J409" s="9" t="str">
        <f t="shared" si="2"/>
        <v>#REF!</v>
      </c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12">
        <v>408.0</v>
      </c>
      <c r="B410" s="13">
        <v>408.0</v>
      </c>
      <c r="C410" s="9" t="str">
        <f t="array" ref="C410">IFERROR(INDEX(Data!F:F, MATCH($E410, Data!$B:$B, 0)), "")</f>
        <v/>
      </c>
      <c r="D410" s="9" t="str">
        <f t="array" ref="D410">IFERROR(INDEX(Data!A:A, MATCH($E410, Data!$B:$B, 0)), "")</f>
        <v/>
      </c>
      <c r="E410" s="9" t="str">
        <f>LARGE(Data!$B$2:$B1000,A410 )</f>
        <v>#NUM!</v>
      </c>
      <c r="F410" s="9" t="str">
        <f t="array" ref="F410">IFERROR(INDEX(Data!C:C, MATCH($E410, Data!$B:$B, 0)), "")</f>
        <v/>
      </c>
      <c r="G410" s="9" t="str">
        <f t="array" ref="G410">IFERROR(INDEX(Data!D:D, MATCH($E410, Data!$B:$B, 0)), "")</f>
        <v/>
      </c>
      <c r="H410" s="9" t="str">
        <f t="array" ref="H410">IFERROR(INDEX(Data!E:E, MATCH($E410, Data!$B:$B, 0)), "")</f>
        <v/>
      </c>
      <c r="I410" s="9" t="str">
        <f t="shared" si="1"/>
        <v/>
      </c>
      <c r="J410" s="9" t="str">
        <f t="shared" si="2"/>
        <v>#REF!</v>
      </c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12">
        <v>409.0</v>
      </c>
      <c r="B411" s="13">
        <v>409.0</v>
      </c>
      <c r="C411" s="9" t="str">
        <f t="array" ref="C411">IFERROR(INDEX(Data!F:F, MATCH($E411, Data!$B:$B, 0)), "")</f>
        <v/>
      </c>
      <c r="D411" s="9" t="str">
        <f t="array" ref="D411">IFERROR(INDEX(Data!A:A, MATCH($E411, Data!$B:$B, 0)), "")</f>
        <v/>
      </c>
      <c r="E411" s="9" t="str">
        <f>LARGE(Data!$B$2:$B1000,A411 )</f>
        <v>#NUM!</v>
      </c>
      <c r="F411" s="9" t="str">
        <f t="array" ref="F411">IFERROR(INDEX(Data!C:C, MATCH($E411, Data!$B:$B, 0)), "")</f>
        <v/>
      </c>
      <c r="G411" s="9" t="str">
        <f t="array" ref="G411">IFERROR(INDEX(Data!D:D, MATCH($E411, Data!$B:$B, 0)), "")</f>
        <v/>
      </c>
      <c r="H411" s="9" t="str">
        <f t="array" ref="H411">IFERROR(INDEX(Data!E:E, MATCH($E411, Data!$B:$B, 0)), "")</f>
        <v/>
      </c>
      <c r="I411" s="9" t="str">
        <f t="shared" si="1"/>
        <v/>
      </c>
      <c r="J411" s="9" t="str">
        <f t="shared" si="2"/>
        <v>#REF!</v>
      </c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12">
        <v>410.0</v>
      </c>
      <c r="B412" s="13">
        <v>410.0</v>
      </c>
      <c r="C412" s="9" t="str">
        <f t="array" ref="C412">IFERROR(INDEX(Data!F:F, MATCH($E412, Data!$B:$B, 0)), "")</f>
        <v/>
      </c>
      <c r="D412" s="9" t="str">
        <f t="array" ref="D412">IFERROR(INDEX(Data!A:A, MATCH($E412, Data!$B:$B, 0)), "")</f>
        <v/>
      </c>
      <c r="E412" s="9" t="str">
        <f>LARGE(Data!$B$2:$B1000,A412 )</f>
        <v>#NUM!</v>
      </c>
      <c r="F412" s="9" t="str">
        <f t="array" ref="F412">IFERROR(INDEX(Data!C:C, MATCH($E412, Data!$B:$B, 0)), "")</f>
        <v/>
      </c>
      <c r="G412" s="9" t="str">
        <f t="array" ref="G412">IFERROR(INDEX(Data!D:D, MATCH($E412, Data!$B:$B, 0)), "")</f>
        <v/>
      </c>
      <c r="H412" s="9" t="str">
        <f t="array" ref="H412">IFERROR(INDEX(Data!E:E, MATCH($E412, Data!$B:$B, 0)), "")</f>
        <v/>
      </c>
      <c r="I412" s="9" t="str">
        <f t="shared" si="1"/>
        <v/>
      </c>
      <c r="J412" s="9" t="str">
        <f t="shared" si="2"/>
        <v>#REF!</v>
      </c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12">
        <v>411.0</v>
      </c>
      <c r="B413" s="13">
        <v>411.0</v>
      </c>
      <c r="C413" s="9" t="str">
        <f t="array" ref="C413">IFERROR(INDEX(Data!F:F, MATCH($E413, Data!$B:$B, 0)), "")</f>
        <v/>
      </c>
      <c r="D413" s="9" t="str">
        <f t="array" ref="D413">IFERROR(INDEX(Data!A:A, MATCH($E413, Data!$B:$B, 0)), "")</f>
        <v/>
      </c>
      <c r="E413" s="9" t="str">
        <f>LARGE(Data!$B$2:$B1000,A413 )</f>
        <v>#NUM!</v>
      </c>
      <c r="F413" s="9" t="str">
        <f t="array" ref="F413">IFERROR(INDEX(Data!C:C, MATCH($E413, Data!$B:$B, 0)), "")</f>
        <v/>
      </c>
      <c r="G413" s="9" t="str">
        <f t="array" ref="G413">IFERROR(INDEX(Data!D:D, MATCH($E413, Data!$B:$B, 0)), "")</f>
        <v/>
      </c>
      <c r="H413" s="9" t="str">
        <f t="array" ref="H413">IFERROR(INDEX(Data!E:E, MATCH($E413, Data!$B:$B, 0)), "")</f>
        <v/>
      </c>
      <c r="I413" s="9" t="str">
        <f t="shared" si="1"/>
        <v/>
      </c>
      <c r="J413" s="9" t="str">
        <f t="shared" si="2"/>
        <v>#REF!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12">
        <v>412.0</v>
      </c>
      <c r="B414" s="13">
        <v>412.0</v>
      </c>
      <c r="C414" s="9" t="str">
        <f t="array" ref="C414">IFERROR(INDEX(Data!F:F, MATCH($E414, Data!$B:$B, 0)), "")</f>
        <v/>
      </c>
      <c r="D414" s="9" t="str">
        <f t="array" ref="D414">IFERROR(INDEX(Data!A:A, MATCH($E414, Data!$B:$B, 0)), "")</f>
        <v/>
      </c>
      <c r="E414" s="9" t="str">
        <f>LARGE(Data!$B$2:$B1000,A414 )</f>
        <v>#NUM!</v>
      </c>
      <c r="F414" s="9" t="str">
        <f t="array" ref="F414">IFERROR(INDEX(Data!C:C, MATCH($E414, Data!$B:$B, 0)), "")</f>
        <v/>
      </c>
      <c r="G414" s="9" t="str">
        <f t="array" ref="G414">IFERROR(INDEX(Data!D:D, MATCH($E414, Data!$B:$B, 0)), "")</f>
        <v/>
      </c>
      <c r="H414" s="9" t="str">
        <f t="array" ref="H414">IFERROR(INDEX(Data!E:E, MATCH($E414, Data!$B:$B, 0)), "")</f>
        <v/>
      </c>
      <c r="I414" s="9" t="str">
        <f t="shared" si="1"/>
        <v/>
      </c>
      <c r="J414" s="9" t="str">
        <f t="shared" si="2"/>
        <v>#REF!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12">
        <v>413.0</v>
      </c>
      <c r="B415" s="13">
        <v>413.0</v>
      </c>
      <c r="C415" s="9" t="str">
        <f t="array" ref="C415">IFERROR(INDEX(Data!F:F, MATCH($E415, Data!$B:$B, 0)), "")</f>
        <v/>
      </c>
      <c r="D415" s="9" t="str">
        <f t="array" ref="D415">IFERROR(INDEX(Data!A:A, MATCH($E415, Data!$B:$B, 0)), "")</f>
        <v/>
      </c>
      <c r="E415" s="9" t="str">
        <f>LARGE(Data!$B$2:$B1000,A415 )</f>
        <v>#NUM!</v>
      </c>
      <c r="F415" s="9" t="str">
        <f t="array" ref="F415">IFERROR(INDEX(Data!C:C, MATCH($E415, Data!$B:$B, 0)), "")</f>
        <v/>
      </c>
      <c r="G415" s="9" t="str">
        <f t="array" ref="G415">IFERROR(INDEX(Data!D:D, MATCH($E415, Data!$B:$B, 0)), "")</f>
        <v/>
      </c>
      <c r="H415" s="9" t="str">
        <f t="array" ref="H415">IFERROR(INDEX(Data!E:E, MATCH($E415, Data!$B:$B, 0)), "")</f>
        <v/>
      </c>
      <c r="I415" s="9" t="str">
        <f t="shared" si="1"/>
        <v/>
      </c>
      <c r="J415" s="9" t="str">
        <f t="shared" si="2"/>
        <v>#REF!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12">
        <v>414.0</v>
      </c>
      <c r="B416" s="13">
        <v>414.0</v>
      </c>
      <c r="C416" s="9" t="str">
        <f t="array" ref="C416">IFERROR(INDEX(Data!F:F, MATCH($E416, Data!$B:$B, 0)), "")</f>
        <v/>
      </c>
      <c r="D416" s="9" t="str">
        <f t="array" ref="D416">IFERROR(INDEX(Data!A:A, MATCH($E416, Data!$B:$B, 0)), "")</f>
        <v/>
      </c>
      <c r="E416" s="9" t="str">
        <f>LARGE(Data!$B$2:$B1000,A416 )</f>
        <v>#NUM!</v>
      </c>
      <c r="F416" s="9" t="str">
        <f t="array" ref="F416">IFERROR(INDEX(Data!C:C, MATCH($E416, Data!$B:$B, 0)), "")</f>
        <v/>
      </c>
      <c r="G416" s="9" t="str">
        <f t="array" ref="G416">IFERROR(INDEX(Data!D:D, MATCH($E416, Data!$B:$B, 0)), "")</f>
        <v/>
      </c>
      <c r="H416" s="9" t="str">
        <f t="array" ref="H416">IFERROR(INDEX(Data!E:E, MATCH($E416, Data!$B:$B, 0)), "")</f>
        <v/>
      </c>
      <c r="I416" s="9" t="str">
        <f t="shared" si="1"/>
        <v/>
      </c>
      <c r="J416" s="9" t="str">
        <f t="shared" si="2"/>
        <v>#REF!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12">
        <v>415.0</v>
      </c>
      <c r="B417" s="13">
        <v>415.0</v>
      </c>
      <c r="C417" s="9" t="str">
        <f t="array" ref="C417">IFERROR(INDEX(Data!F:F, MATCH($E417, Data!$B:$B, 0)), "")</f>
        <v/>
      </c>
      <c r="D417" s="9" t="str">
        <f t="array" ref="D417">IFERROR(INDEX(Data!A:A, MATCH($E417, Data!$B:$B, 0)), "")</f>
        <v/>
      </c>
      <c r="E417" s="9" t="str">
        <f>LARGE(Data!$B$2:$B1000,A417 )</f>
        <v>#NUM!</v>
      </c>
      <c r="F417" s="9" t="str">
        <f t="array" ref="F417">IFERROR(INDEX(Data!C:C, MATCH($E417, Data!$B:$B, 0)), "")</f>
        <v/>
      </c>
      <c r="G417" s="9" t="str">
        <f t="array" ref="G417">IFERROR(INDEX(Data!D:D, MATCH($E417, Data!$B:$B, 0)), "")</f>
        <v/>
      </c>
      <c r="H417" s="9" t="str">
        <f t="array" ref="H417">IFERROR(INDEX(Data!E:E, MATCH($E417, Data!$B:$B, 0)), "")</f>
        <v/>
      </c>
      <c r="I417" s="9" t="str">
        <f t="shared" si="1"/>
        <v/>
      </c>
      <c r="J417" s="9" t="str">
        <f t="shared" si="2"/>
        <v>#REF!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12">
        <v>416.0</v>
      </c>
      <c r="B418" s="13">
        <v>416.0</v>
      </c>
      <c r="C418" s="9" t="str">
        <f t="array" ref="C418">IFERROR(INDEX(Data!F:F, MATCH($E418, Data!$B:$B, 0)), "")</f>
        <v/>
      </c>
      <c r="D418" s="9" t="str">
        <f t="array" ref="D418">IFERROR(INDEX(Data!A:A, MATCH($E418, Data!$B:$B, 0)), "")</f>
        <v/>
      </c>
      <c r="E418" s="9" t="str">
        <f>LARGE(Data!$B$2:$B1000,A418 )</f>
        <v>#NUM!</v>
      </c>
      <c r="F418" s="9" t="str">
        <f t="array" ref="F418">IFERROR(INDEX(Data!C:C, MATCH($E418, Data!$B:$B, 0)), "")</f>
        <v/>
      </c>
      <c r="G418" s="9" t="str">
        <f t="array" ref="G418">IFERROR(INDEX(Data!D:D, MATCH($E418, Data!$B:$B, 0)), "")</f>
        <v/>
      </c>
      <c r="H418" s="9" t="str">
        <f t="array" ref="H418">IFERROR(INDEX(Data!E:E, MATCH($E418, Data!$B:$B, 0)), "")</f>
        <v/>
      </c>
      <c r="I418" s="9" t="str">
        <f t="shared" si="1"/>
        <v/>
      </c>
      <c r="J418" s="9" t="str">
        <f t="shared" si="2"/>
        <v>#REF!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12">
        <v>417.0</v>
      </c>
      <c r="B419" s="13">
        <v>417.0</v>
      </c>
      <c r="C419" s="9" t="str">
        <f t="array" ref="C419">IFERROR(INDEX(Data!F:F, MATCH($E419, Data!$B:$B, 0)), "")</f>
        <v/>
      </c>
      <c r="D419" s="9" t="str">
        <f t="array" ref="D419">IFERROR(INDEX(Data!A:A, MATCH($E419, Data!$B:$B, 0)), "")</f>
        <v/>
      </c>
      <c r="E419" s="9" t="str">
        <f>LARGE(Data!$B$2:$B1000,A419 )</f>
        <v>#NUM!</v>
      </c>
      <c r="F419" s="9" t="str">
        <f t="array" ref="F419">IFERROR(INDEX(Data!C:C, MATCH($E419, Data!$B:$B, 0)), "")</f>
        <v/>
      </c>
      <c r="G419" s="9" t="str">
        <f t="array" ref="G419">IFERROR(INDEX(Data!D:D, MATCH($E419, Data!$B:$B, 0)), "")</f>
        <v/>
      </c>
      <c r="H419" s="9" t="str">
        <f t="array" ref="H419">IFERROR(INDEX(Data!E:E, MATCH($E419, Data!$B:$B, 0)), "")</f>
        <v/>
      </c>
      <c r="I419" s="9" t="str">
        <f t="shared" si="1"/>
        <v/>
      </c>
      <c r="J419" s="9" t="str">
        <f t="shared" si="2"/>
        <v>#REF!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12">
        <v>418.0</v>
      </c>
      <c r="B420" s="13">
        <v>418.0</v>
      </c>
      <c r="C420" s="9" t="str">
        <f t="array" ref="C420">IFERROR(INDEX(Data!F:F, MATCH($E420, Data!$B:$B, 0)), "")</f>
        <v/>
      </c>
      <c r="D420" s="9" t="str">
        <f t="array" ref="D420">IFERROR(INDEX(Data!A:A, MATCH($E420, Data!$B:$B, 0)), "")</f>
        <v/>
      </c>
      <c r="E420" s="9" t="str">
        <f>LARGE(Data!$B$2:$B1000,A420 )</f>
        <v>#NUM!</v>
      </c>
      <c r="F420" s="9" t="str">
        <f t="array" ref="F420">IFERROR(INDEX(Data!C:C, MATCH($E420, Data!$B:$B, 0)), "")</f>
        <v/>
      </c>
      <c r="G420" s="9" t="str">
        <f t="array" ref="G420">IFERROR(INDEX(Data!D:D, MATCH($E420, Data!$B:$B, 0)), "")</f>
        <v/>
      </c>
      <c r="H420" s="9" t="str">
        <f t="array" ref="H420">IFERROR(INDEX(Data!E:E, MATCH($E420, Data!$B:$B, 0)), "")</f>
        <v/>
      </c>
      <c r="I420" s="9" t="str">
        <f t="shared" si="1"/>
        <v/>
      </c>
      <c r="J420" s="9" t="str">
        <f t="shared" si="2"/>
        <v>#REF!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12">
        <v>419.0</v>
      </c>
      <c r="B421" s="13">
        <v>419.0</v>
      </c>
      <c r="C421" s="9" t="str">
        <f t="array" ref="C421">IFERROR(INDEX(Data!F:F, MATCH($E421, Data!$B:$B, 0)), "")</f>
        <v/>
      </c>
      <c r="D421" s="9" t="str">
        <f t="array" ref="D421">IFERROR(INDEX(Data!A:A, MATCH($E421, Data!$B:$B, 0)), "")</f>
        <v/>
      </c>
      <c r="E421" s="9" t="str">
        <f>LARGE(Data!$B$2:$B1000,A421 )</f>
        <v>#NUM!</v>
      </c>
      <c r="F421" s="9" t="str">
        <f t="array" ref="F421">IFERROR(INDEX(Data!C:C, MATCH($E421, Data!$B:$B, 0)), "")</f>
        <v/>
      </c>
      <c r="G421" s="9" t="str">
        <f t="array" ref="G421">IFERROR(INDEX(Data!D:D, MATCH($E421, Data!$B:$B, 0)), "")</f>
        <v/>
      </c>
      <c r="H421" s="9" t="str">
        <f t="array" ref="H421">IFERROR(INDEX(Data!E:E, MATCH($E421, Data!$B:$B, 0)), "")</f>
        <v/>
      </c>
      <c r="I421" s="9" t="str">
        <f t="shared" si="1"/>
        <v/>
      </c>
      <c r="J421" s="9" t="str">
        <f t="shared" si="2"/>
        <v>#REF!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12">
        <v>420.0</v>
      </c>
      <c r="B422" s="13">
        <v>420.0</v>
      </c>
      <c r="C422" s="9" t="str">
        <f t="array" ref="C422">IFERROR(INDEX(Data!F:F, MATCH($E422, Data!$B:$B, 0)), "")</f>
        <v/>
      </c>
      <c r="D422" s="9" t="str">
        <f t="array" ref="D422">IFERROR(INDEX(Data!A:A, MATCH($E422, Data!$B:$B, 0)), "")</f>
        <v/>
      </c>
      <c r="E422" s="9" t="str">
        <f>LARGE(Data!$B$2:$B1000,A422 )</f>
        <v>#NUM!</v>
      </c>
      <c r="F422" s="9" t="str">
        <f t="array" ref="F422">IFERROR(INDEX(Data!C:C, MATCH($E422, Data!$B:$B, 0)), "")</f>
        <v/>
      </c>
      <c r="G422" s="9" t="str">
        <f t="array" ref="G422">IFERROR(INDEX(Data!D:D, MATCH($E422, Data!$B:$B, 0)), "")</f>
        <v/>
      </c>
      <c r="H422" s="9" t="str">
        <f t="array" ref="H422">IFERROR(INDEX(Data!E:E, MATCH($E422, Data!$B:$B, 0)), "")</f>
        <v/>
      </c>
      <c r="I422" s="9" t="str">
        <f t="shared" si="1"/>
        <v/>
      </c>
      <c r="J422" s="9" t="str">
        <f t="shared" si="2"/>
        <v>#REF!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12">
        <v>421.0</v>
      </c>
      <c r="B423" s="13">
        <v>421.0</v>
      </c>
      <c r="C423" s="9" t="str">
        <f t="array" ref="C423">IFERROR(INDEX(Data!F:F, MATCH($E423, Data!$B:$B, 0)), "")</f>
        <v/>
      </c>
      <c r="D423" s="9" t="str">
        <f t="array" ref="D423">IFERROR(INDEX(Data!A:A, MATCH($E423, Data!$B:$B, 0)), "")</f>
        <v/>
      </c>
      <c r="E423" s="9" t="str">
        <f>LARGE(Data!$B$2:$B1000,A423 )</f>
        <v>#NUM!</v>
      </c>
      <c r="F423" s="9" t="str">
        <f t="array" ref="F423">IFERROR(INDEX(Data!C:C, MATCH($E423, Data!$B:$B, 0)), "")</f>
        <v/>
      </c>
      <c r="G423" s="9" t="str">
        <f t="array" ref="G423">IFERROR(INDEX(Data!D:D, MATCH($E423, Data!$B:$B, 0)), "")</f>
        <v/>
      </c>
      <c r="H423" s="9" t="str">
        <f t="array" ref="H423">IFERROR(INDEX(Data!E:E, MATCH($E423, Data!$B:$B, 0)), "")</f>
        <v/>
      </c>
      <c r="I423" s="9" t="str">
        <f t="shared" si="1"/>
        <v/>
      </c>
      <c r="J423" s="9" t="str">
        <f t="shared" si="2"/>
        <v>#REF!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12">
        <v>422.0</v>
      </c>
      <c r="B424" s="13">
        <v>422.0</v>
      </c>
      <c r="C424" s="9" t="str">
        <f t="array" ref="C424">IFERROR(INDEX(Data!F:F, MATCH($E424, Data!$B:$B, 0)), "")</f>
        <v/>
      </c>
      <c r="D424" s="9" t="str">
        <f t="array" ref="D424">IFERROR(INDEX(Data!A:A, MATCH($E424, Data!$B:$B, 0)), "")</f>
        <v/>
      </c>
      <c r="E424" s="9" t="str">
        <f>LARGE(Data!$B$2:$B1000,A424 )</f>
        <v>#NUM!</v>
      </c>
      <c r="F424" s="9" t="str">
        <f t="array" ref="F424">IFERROR(INDEX(Data!C:C, MATCH($E424, Data!$B:$B, 0)), "")</f>
        <v/>
      </c>
      <c r="G424" s="9" t="str">
        <f t="array" ref="G424">IFERROR(INDEX(Data!D:D, MATCH($E424, Data!$B:$B, 0)), "")</f>
        <v/>
      </c>
      <c r="H424" s="9" t="str">
        <f t="array" ref="H424">IFERROR(INDEX(Data!E:E, MATCH($E424, Data!$B:$B, 0)), "")</f>
        <v/>
      </c>
      <c r="I424" s="9" t="str">
        <f t="shared" si="1"/>
        <v/>
      </c>
      <c r="J424" s="9" t="str">
        <f t="shared" si="2"/>
        <v>#REF!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12">
        <v>423.0</v>
      </c>
      <c r="B425" s="13">
        <v>423.0</v>
      </c>
      <c r="C425" s="9" t="str">
        <f t="array" ref="C425">IFERROR(INDEX(Data!F:F, MATCH($E425, Data!$B:$B, 0)), "")</f>
        <v/>
      </c>
      <c r="D425" s="9" t="str">
        <f t="array" ref="D425">IFERROR(INDEX(Data!A:A, MATCH($E425, Data!$B:$B, 0)), "")</f>
        <v/>
      </c>
      <c r="E425" s="9" t="str">
        <f>LARGE(Data!$B$2:$B1000,A425 )</f>
        <v>#NUM!</v>
      </c>
      <c r="F425" s="9" t="str">
        <f t="array" ref="F425">IFERROR(INDEX(Data!C:C, MATCH($E425, Data!$B:$B, 0)), "")</f>
        <v/>
      </c>
      <c r="G425" s="9" t="str">
        <f t="array" ref="G425">IFERROR(INDEX(Data!D:D, MATCH($E425, Data!$B:$B, 0)), "")</f>
        <v/>
      </c>
      <c r="H425" s="9" t="str">
        <f t="array" ref="H425">IFERROR(INDEX(Data!E:E, MATCH($E425, Data!$B:$B, 0)), "")</f>
        <v/>
      </c>
      <c r="I425" s="9" t="str">
        <f t="shared" si="1"/>
        <v/>
      </c>
      <c r="J425" s="9" t="str">
        <f t="shared" si="2"/>
        <v>#REF!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12">
        <v>424.0</v>
      </c>
      <c r="B426" s="13">
        <v>424.0</v>
      </c>
      <c r="C426" s="9" t="str">
        <f t="array" ref="C426">IFERROR(INDEX(Data!F:F, MATCH($E426, Data!$B:$B, 0)), "")</f>
        <v/>
      </c>
      <c r="D426" s="9" t="str">
        <f t="array" ref="D426">IFERROR(INDEX(Data!A:A, MATCH($E426, Data!$B:$B, 0)), "")</f>
        <v/>
      </c>
      <c r="E426" s="9" t="str">
        <f>LARGE(Data!$B$2:$B1000,A426 )</f>
        <v>#NUM!</v>
      </c>
      <c r="F426" s="9" t="str">
        <f t="array" ref="F426">IFERROR(INDEX(Data!C:C, MATCH($E426, Data!$B:$B, 0)), "")</f>
        <v/>
      </c>
      <c r="G426" s="9" t="str">
        <f t="array" ref="G426">IFERROR(INDEX(Data!D:D, MATCH($E426, Data!$B:$B, 0)), "")</f>
        <v/>
      </c>
      <c r="H426" s="9" t="str">
        <f t="array" ref="H426">IFERROR(INDEX(Data!E:E, MATCH($E426, Data!$B:$B, 0)), "")</f>
        <v/>
      </c>
      <c r="I426" s="9" t="str">
        <f t="shared" si="1"/>
        <v/>
      </c>
      <c r="J426" s="9" t="str">
        <f t="shared" si="2"/>
        <v>#REF!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12">
        <v>425.0</v>
      </c>
      <c r="B427" s="13">
        <v>425.0</v>
      </c>
      <c r="C427" s="9" t="str">
        <f t="array" ref="C427">IFERROR(INDEX(Data!F:F, MATCH($E427, Data!$B:$B, 0)), "")</f>
        <v/>
      </c>
      <c r="D427" s="9" t="str">
        <f t="array" ref="D427">IFERROR(INDEX(Data!A:A, MATCH($E427, Data!$B:$B, 0)), "")</f>
        <v/>
      </c>
      <c r="E427" s="9" t="str">
        <f>LARGE(Data!$B$2:$B1000,A427 )</f>
        <v>#NUM!</v>
      </c>
      <c r="F427" s="9" t="str">
        <f t="array" ref="F427">IFERROR(INDEX(Data!C:C, MATCH($E427, Data!$B:$B, 0)), "")</f>
        <v/>
      </c>
      <c r="G427" s="9" t="str">
        <f t="array" ref="G427">IFERROR(INDEX(Data!D:D, MATCH($E427, Data!$B:$B, 0)), "")</f>
        <v/>
      </c>
      <c r="H427" s="9" t="str">
        <f t="array" ref="H427">IFERROR(INDEX(Data!E:E, MATCH($E427, Data!$B:$B, 0)), "")</f>
        <v/>
      </c>
      <c r="I427" s="9" t="str">
        <f t="shared" si="1"/>
        <v/>
      </c>
      <c r="J427" s="9" t="str">
        <f t="shared" si="2"/>
        <v>#REF!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12">
        <v>426.0</v>
      </c>
      <c r="B428" s="13">
        <v>426.0</v>
      </c>
      <c r="C428" s="9" t="str">
        <f t="array" ref="C428">IFERROR(INDEX(Data!F:F, MATCH($E428, Data!$B:$B, 0)), "")</f>
        <v/>
      </c>
      <c r="D428" s="9" t="str">
        <f t="array" ref="D428">IFERROR(INDEX(Data!A:A, MATCH($E428, Data!$B:$B, 0)), "")</f>
        <v/>
      </c>
      <c r="E428" s="9" t="str">
        <f>LARGE(Data!$B$2:$B1000,A428 )</f>
        <v>#NUM!</v>
      </c>
      <c r="F428" s="9" t="str">
        <f t="array" ref="F428">IFERROR(INDEX(Data!C:C, MATCH($E428, Data!$B:$B, 0)), "")</f>
        <v/>
      </c>
      <c r="G428" s="9" t="str">
        <f t="array" ref="G428">IFERROR(INDEX(Data!D:D, MATCH($E428, Data!$B:$B, 0)), "")</f>
        <v/>
      </c>
      <c r="H428" s="9" t="str">
        <f t="array" ref="H428">IFERROR(INDEX(Data!E:E, MATCH($E428, Data!$B:$B, 0)), "")</f>
        <v/>
      </c>
      <c r="I428" s="9" t="str">
        <f t="shared" si="1"/>
        <v/>
      </c>
      <c r="J428" s="9" t="str">
        <f t="shared" si="2"/>
        <v>#REF!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12">
        <v>427.0</v>
      </c>
      <c r="B429" s="13">
        <v>427.0</v>
      </c>
      <c r="C429" s="9" t="str">
        <f t="array" ref="C429">IFERROR(INDEX(Data!F:F, MATCH($E429, Data!$B:$B, 0)), "")</f>
        <v/>
      </c>
      <c r="D429" s="9" t="str">
        <f t="array" ref="D429">IFERROR(INDEX(Data!A:A, MATCH($E429, Data!$B:$B, 0)), "")</f>
        <v/>
      </c>
      <c r="E429" s="9" t="str">
        <f>LARGE(Data!$B$2:$B1000,A429 )</f>
        <v>#NUM!</v>
      </c>
      <c r="F429" s="9" t="str">
        <f t="array" ref="F429">IFERROR(INDEX(Data!C:C, MATCH($E429, Data!$B:$B, 0)), "")</f>
        <v/>
      </c>
      <c r="G429" s="9" t="str">
        <f t="array" ref="G429">IFERROR(INDEX(Data!D:D, MATCH($E429, Data!$B:$B, 0)), "")</f>
        <v/>
      </c>
      <c r="H429" s="9" t="str">
        <f t="array" ref="H429">IFERROR(INDEX(Data!E:E, MATCH($E429, Data!$B:$B, 0)), "")</f>
        <v/>
      </c>
      <c r="I429" s="9" t="str">
        <f t="shared" si="1"/>
        <v/>
      </c>
      <c r="J429" s="9" t="str">
        <f t="shared" si="2"/>
        <v>#REF!</v>
      </c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12">
        <v>428.0</v>
      </c>
      <c r="B430" s="13">
        <v>428.0</v>
      </c>
      <c r="C430" s="9" t="str">
        <f t="array" ref="C430">IFERROR(INDEX(Data!F:F, MATCH($E430, Data!$B:$B, 0)), "")</f>
        <v/>
      </c>
      <c r="D430" s="9" t="str">
        <f t="array" ref="D430">IFERROR(INDEX(Data!A:A, MATCH($E430, Data!$B:$B, 0)), "")</f>
        <v/>
      </c>
      <c r="E430" s="9" t="str">
        <f>LARGE(Data!$B$2:$B1000,A430 )</f>
        <v>#NUM!</v>
      </c>
      <c r="F430" s="9" t="str">
        <f t="array" ref="F430">IFERROR(INDEX(Data!C:C, MATCH($E430, Data!$B:$B, 0)), "")</f>
        <v/>
      </c>
      <c r="G430" s="9" t="str">
        <f t="array" ref="G430">IFERROR(INDEX(Data!D:D, MATCH($E430, Data!$B:$B, 0)), "")</f>
        <v/>
      </c>
      <c r="H430" s="9" t="str">
        <f t="array" ref="H430">IFERROR(INDEX(Data!E:E, MATCH($E430, Data!$B:$B, 0)), "")</f>
        <v/>
      </c>
      <c r="I430" s="9" t="str">
        <f t="shared" si="1"/>
        <v/>
      </c>
      <c r="J430" s="9" t="str">
        <f t="shared" si="2"/>
        <v>#REF!</v>
      </c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12">
        <v>429.0</v>
      </c>
      <c r="B431" s="13">
        <v>429.0</v>
      </c>
      <c r="C431" s="9" t="str">
        <f t="array" ref="C431">IFERROR(INDEX(Data!F:F, MATCH($E431, Data!$B:$B, 0)), "")</f>
        <v/>
      </c>
      <c r="D431" s="9" t="str">
        <f t="array" ref="D431">IFERROR(INDEX(Data!A:A, MATCH($E431, Data!$B:$B, 0)), "")</f>
        <v/>
      </c>
      <c r="E431" s="9" t="str">
        <f>LARGE(Data!$B$2:$B1000,A431 )</f>
        <v>#NUM!</v>
      </c>
      <c r="F431" s="9" t="str">
        <f t="array" ref="F431">IFERROR(INDEX(Data!C:C, MATCH($E431, Data!$B:$B, 0)), "")</f>
        <v/>
      </c>
      <c r="G431" s="9" t="str">
        <f t="array" ref="G431">IFERROR(INDEX(Data!D:D, MATCH($E431, Data!$B:$B, 0)), "")</f>
        <v/>
      </c>
      <c r="H431" s="9" t="str">
        <f t="array" ref="H431">IFERROR(INDEX(Data!E:E, MATCH($E431, Data!$B:$B, 0)), "")</f>
        <v/>
      </c>
      <c r="I431" s="9" t="str">
        <f t="shared" si="1"/>
        <v/>
      </c>
      <c r="J431" s="9" t="str">
        <f t="shared" si="2"/>
        <v>#REF!</v>
      </c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12">
        <v>430.0</v>
      </c>
      <c r="B432" s="13">
        <v>430.0</v>
      </c>
      <c r="C432" s="9" t="str">
        <f t="array" ref="C432">IFERROR(INDEX(Data!F:F, MATCH($E432, Data!$B:$B, 0)), "")</f>
        <v/>
      </c>
      <c r="D432" s="9" t="str">
        <f t="array" ref="D432">IFERROR(INDEX(Data!A:A, MATCH($E432, Data!$B:$B, 0)), "")</f>
        <v/>
      </c>
      <c r="E432" s="9" t="str">
        <f>LARGE(Data!$B$2:$B1000,A432 )</f>
        <v>#NUM!</v>
      </c>
      <c r="F432" s="9" t="str">
        <f t="array" ref="F432">IFERROR(INDEX(Data!C:C, MATCH($E432, Data!$B:$B, 0)), "")</f>
        <v/>
      </c>
      <c r="G432" s="9" t="str">
        <f t="array" ref="G432">IFERROR(INDEX(Data!D:D, MATCH($E432, Data!$B:$B, 0)), "")</f>
        <v/>
      </c>
      <c r="H432" s="9" t="str">
        <f t="array" ref="H432">IFERROR(INDEX(Data!E:E, MATCH($E432, Data!$B:$B, 0)), "")</f>
        <v/>
      </c>
      <c r="I432" s="9" t="str">
        <f t="shared" si="1"/>
        <v/>
      </c>
      <c r="J432" s="9" t="str">
        <f t="shared" si="2"/>
        <v>#REF!</v>
      </c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12">
        <v>431.0</v>
      </c>
      <c r="B433" s="13">
        <v>431.0</v>
      </c>
      <c r="C433" s="9" t="str">
        <f t="array" ref="C433">IFERROR(INDEX(Data!F:F, MATCH($E433, Data!$B:$B, 0)), "")</f>
        <v/>
      </c>
      <c r="D433" s="9" t="str">
        <f t="array" ref="D433">IFERROR(INDEX(Data!A:A, MATCH($E433, Data!$B:$B, 0)), "")</f>
        <v/>
      </c>
      <c r="E433" s="9" t="str">
        <f>LARGE(Data!$B$2:$B1000,A433 )</f>
        <v>#NUM!</v>
      </c>
      <c r="F433" s="9" t="str">
        <f t="array" ref="F433">IFERROR(INDEX(Data!C:C, MATCH($E433, Data!$B:$B, 0)), "")</f>
        <v/>
      </c>
      <c r="G433" s="9" t="str">
        <f t="array" ref="G433">IFERROR(INDEX(Data!D:D, MATCH($E433, Data!$B:$B, 0)), "")</f>
        <v/>
      </c>
      <c r="H433" s="9" t="str">
        <f t="array" ref="H433">IFERROR(INDEX(Data!E:E, MATCH($E433, Data!$B:$B, 0)), "")</f>
        <v/>
      </c>
      <c r="I433" s="9" t="str">
        <f t="shared" si="1"/>
        <v/>
      </c>
      <c r="J433" s="9" t="str">
        <f t="shared" si="2"/>
        <v>#REF!</v>
      </c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12">
        <v>432.0</v>
      </c>
      <c r="B434" s="13">
        <v>432.0</v>
      </c>
      <c r="C434" s="9" t="str">
        <f t="array" ref="C434">IFERROR(INDEX(Data!F:F, MATCH($E434, Data!$B:$B, 0)), "")</f>
        <v/>
      </c>
      <c r="D434" s="9" t="str">
        <f t="array" ref="D434">IFERROR(INDEX(Data!A:A, MATCH($E434, Data!$B:$B, 0)), "")</f>
        <v/>
      </c>
      <c r="E434" s="9" t="str">
        <f>LARGE(Data!$B$2:$B1000,A434 )</f>
        <v>#NUM!</v>
      </c>
      <c r="F434" s="9" t="str">
        <f t="array" ref="F434">IFERROR(INDEX(Data!C:C, MATCH($E434, Data!$B:$B, 0)), "")</f>
        <v/>
      </c>
      <c r="G434" s="9" t="str">
        <f t="array" ref="G434">IFERROR(INDEX(Data!D:D, MATCH($E434, Data!$B:$B, 0)), "")</f>
        <v/>
      </c>
      <c r="H434" s="9" t="str">
        <f t="array" ref="H434">IFERROR(INDEX(Data!E:E, MATCH($E434, Data!$B:$B, 0)), "")</f>
        <v/>
      </c>
      <c r="I434" s="9" t="str">
        <f t="shared" si="1"/>
        <v/>
      </c>
      <c r="J434" s="9" t="str">
        <f t="shared" si="2"/>
        <v>#REF!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12">
        <v>433.0</v>
      </c>
      <c r="B435" s="13">
        <v>433.0</v>
      </c>
      <c r="C435" s="9" t="str">
        <f t="array" ref="C435">IFERROR(INDEX(Data!F:F, MATCH($E435, Data!$B:$B, 0)), "")</f>
        <v/>
      </c>
      <c r="D435" s="9" t="str">
        <f t="array" ref="D435">IFERROR(INDEX(Data!A:A, MATCH($E435, Data!$B:$B, 0)), "")</f>
        <v/>
      </c>
      <c r="E435" s="9" t="str">
        <f>LARGE(Data!$B$2:$B1000,A435 )</f>
        <v>#NUM!</v>
      </c>
      <c r="F435" s="9" t="str">
        <f t="array" ref="F435">IFERROR(INDEX(Data!C:C, MATCH($E435, Data!$B:$B, 0)), "")</f>
        <v/>
      </c>
      <c r="G435" s="9" t="str">
        <f t="array" ref="G435">IFERROR(INDEX(Data!D:D, MATCH($E435, Data!$B:$B, 0)), "")</f>
        <v/>
      </c>
      <c r="H435" s="9" t="str">
        <f t="array" ref="H435">IFERROR(INDEX(Data!E:E, MATCH($E435, Data!$B:$B, 0)), "")</f>
        <v/>
      </c>
      <c r="I435" s="9" t="str">
        <f t="shared" si="1"/>
        <v/>
      </c>
      <c r="J435" s="9" t="str">
        <f t="shared" si="2"/>
        <v>#REF!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12">
        <v>434.0</v>
      </c>
      <c r="B436" s="13">
        <v>434.0</v>
      </c>
      <c r="C436" s="9" t="str">
        <f t="array" ref="C436">IFERROR(INDEX(Data!F:F, MATCH($E436, Data!$B:$B, 0)), "")</f>
        <v/>
      </c>
      <c r="D436" s="9" t="str">
        <f t="array" ref="D436">IFERROR(INDEX(Data!A:A, MATCH($E436, Data!$B:$B, 0)), "")</f>
        <v/>
      </c>
      <c r="E436" s="9" t="str">
        <f>LARGE(Data!$B$2:$B1000,A436 )</f>
        <v>#NUM!</v>
      </c>
      <c r="F436" s="9" t="str">
        <f t="array" ref="F436">IFERROR(INDEX(Data!C:C, MATCH($E436, Data!$B:$B, 0)), "")</f>
        <v/>
      </c>
      <c r="G436" s="9" t="str">
        <f t="array" ref="G436">IFERROR(INDEX(Data!D:D, MATCH($E436, Data!$B:$B, 0)), "")</f>
        <v/>
      </c>
      <c r="H436" s="9" t="str">
        <f t="array" ref="H436">IFERROR(INDEX(Data!E:E, MATCH($E436, Data!$B:$B, 0)), "")</f>
        <v/>
      </c>
      <c r="I436" s="9" t="str">
        <f t="shared" si="1"/>
        <v/>
      </c>
      <c r="J436" s="9" t="str">
        <f t="shared" si="2"/>
        <v>#REF!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12">
        <v>435.0</v>
      </c>
      <c r="B437" s="13">
        <v>435.0</v>
      </c>
      <c r="C437" s="9" t="str">
        <f t="array" ref="C437">IFERROR(INDEX(Data!F:F, MATCH($E437, Data!$B:$B, 0)), "")</f>
        <v/>
      </c>
      <c r="D437" s="9" t="str">
        <f t="array" ref="D437">IFERROR(INDEX(Data!A:A, MATCH($E437, Data!$B:$B, 0)), "")</f>
        <v/>
      </c>
      <c r="E437" s="9" t="str">
        <f>LARGE(Data!$B$2:$B1000,A437 )</f>
        <v>#NUM!</v>
      </c>
      <c r="F437" s="9" t="str">
        <f t="array" ref="F437">IFERROR(INDEX(Data!C:C, MATCH($E437, Data!$B:$B, 0)), "")</f>
        <v/>
      </c>
      <c r="G437" s="9" t="str">
        <f t="array" ref="G437">IFERROR(INDEX(Data!D:D, MATCH($E437, Data!$B:$B, 0)), "")</f>
        <v/>
      </c>
      <c r="H437" s="9" t="str">
        <f t="array" ref="H437">IFERROR(INDEX(Data!E:E, MATCH($E437, Data!$B:$B, 0)), "")</f>
        <v/>
      </c>
      <c r="I437" s="9" t="str">
        <f t="shared" si="1"/>
        <v/>
      </c>
      <c r="J437" s="9" t="str">
        <f t="shared" si="2"/>
        <v>#REF!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12">
        <v>436.0</v>
      </c>
      <c r="B438" s="13">
        <v>436.0</v>
      </c>
      <c r="C438" s="9" t="str">
        <f t="array" ref="C438">IFERROR(INDEX(Data!F:F, MATCH($E438, Data!$B:$B, 0)), "")</f>
        <v/>
      </c>
      <c r="D438" s="9" t="str">
        <f t="array" ref="D438">IFERROR(INDEX(Data!A:A, MATCH($E438, Data!$B:$B, 0)), "")</f>
        <v/>
      </c>
      <c r="E438" s="9" t="str">
        <f>LARGE(Data!$B$2:$B1000,A438 )</f>
        <v>#NUM!</v>
      </c>
      <c r="F438" s="9" t="str">
        <f t="array" ref="F438">IFERROR(INDEX(Data!C:C, MATCH($E438, Data!$B:$B, 0)), "")</f>
        <v/>
      </c>
      <c r="G438" s="9" t="str">
        <f t="array" ref="G438">IFERROR(INDEX(Data!D:D, MATCH($E438, Data!$B:$B, 0)), "")</f>
        <v/>
      </c>
      <c r="H438" s="9" t="str">
        <f t="array" ref="H438">IFERROR(INDEX(Data!E:E, MATCH($E438, Data!$B:$B, 0)), "")</f>
        <v/>
      </c>
      <c r="I438" s="9" t="str">
        <f t="shared" si="1"/>
        <v/>
      </c>
      <c r="J438" s="9" t="str">
        <f t="shared" si="2"/>
        <v>#REF!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12">
        <v>437.0</v>
      </c>
      <c r="B439" s="13">
        <v>437.0</v>
      </c>
      <c r="C439" s="9" t="str">
        <f t="array" ref="C439">IFERROR(INDEX(Data!F:F, MATCH($E439, Data!$B:$B, 0)), "")</f>
        <v/>
      </c>
      <c r="D439" s="9" t="str">
        <f t="array" ref="D439">IFERROR(INDEX(Data!A:A, MATCH($E439, Data!$B:$B, 0)), "")</f>
        <v/>
      </c>
      <c r="E439" s="9" t="str">
        <f>LARGE(Data!$B$2:$B1000,A439 )</f>
        <v>#NUM!</v>
      </c>
      <c r="F439" s="9" t="str">
        <f t="array" ref="F439">IFERROR(INDEX(Data!C:C, MATCH($E439, Data!$B:$B, 0)), "")</f>
        <v/>
      </c>
      <c r="G439" s="9" t="str">
        <f t="array" ref="G439">IFERROR(INDEX(Data!D:D, MATCH($E439, Data!$B:$B, 0)), "")</f>
        <v/>
      </c>
      <c r="H439" s="9" t="str">
        <f t="array" ref="H439">IFERROR(INDEX(Data!E:E, MATCH($E439, Data!$B:$B, 0)), "")</f>
        <v/>
      </c>
      <c r="I439" s="9" t="str">
        <f t="shared" si="1"/>
        <v/>
      </c>
      <c r="J439" s="9" t="str">
        <f t="shared" si="2"/>
        <v>#REF!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12">
        <v>438.0</v>
      </c>
      <c r="B440" s="13">
        <v>438.0</v>
      </c>
      <c r="C440" s="9" t="str">
        <f t="array" ref="C440">IFERROR(INDEX(Data!F:F, MATCH($E440, Data!$B:$B, 0)), "")</f>
        <v/>
      </c>
      <c r="D440" s="9" t="str">
        <f t="array" ref="D440">IFERROR(INDEX(Data!A:A, MATCH($E440, Data!$B:$B, 0)), "")</f>
        <v/>
      </c>
      <c r="E440" s="9" t="str">
        <f>LARGE(Data!$B$2:$B1000,A440 )</f>
        <v>#NUM!</v>
      </c>
      <c r="F440" s="9" t="str">
        <f t="array" ref="F440">IFERROR(INDEX(Data!C:C, MATCH($E440, Data!$B:$B, 0)), "")</f>
        <v/>
      </c>
      <c r="G440" s="9" t="str">
        <f t="array" ref="G440">IFERROR(INDEX(Data!D:D, MATCH($E440, Data!$B:$B, 0)), "")</f>
        <v/>
      </c>
      <c r="H440" s="9" t="str">
        <f t="array" ref="H440">IFERROR(INDEX(Data!E:E, MATCH($E440, Data!$B:$B, 0)), "")</f>
        <v/>
      </c>
      <c r="I440" s="9" t="str">
        <f t="shared" si="1"/>
        <v/>
      </c>
      <c r="J440" s="9" t="str">
        <f t="shared" si="2"/>
        <v>#REF!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12">
        <v>439.0</v>
      </c>
      <c r="B441" s="13">
        <v>439.0</v>
      </c>
      <c r="C441" s="9" t="str">
        <f t="array" ref="C441">IFERROR(INDEX(Data!F:F, MATCH($E441, Data!$B:$B, 0)), "")</f>
        <v/>
      </c>
      <c r="D441" s="9" t="str">
        <f t="array" ref="D441">IFERROR(INDEX(Data!A:A, MATCH($E441, Data!$B:$B, 0)), "")</f>
        <v/>
      </c>
      <c r="E441" s="9" t="str">
        <f>LARGE(Data!$B$2:$B1000,A441 )</f>
        <v>#NUM!</v>
      </c>
      <c r="F441" s="9" t="str">
        <f t="array" ref="F441">IFERROR(INDEX(Data!C:C, MATCH($E441, Data!$B:$B, 0)), "")</f>
        <v/>
      </c>
      <c r="G441" s="9" t="str">
        <f t="array" ref="G441">IFERROR(INDEX(Data!D:D, MATCH($E441, Data!$B:$B, 0)), "")</f>
        <v/>
      </c>
      <c r="H441" s="9" t="str">
        <f t="array" ref="H441">IFERROR(INDEX(Data!E:E, MATCH($E441, Data!$B:$B, 0)), "")</f>
        <v/>
      </c>
      <c r="I441" s="9" t="str">
        <f t="shared" si="1"/>
        <v/>
      </c>
      <c r="J441" s="9" t="str">
        <f t="shared" si="2"/>
        <v>#REF!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12">
        <v>440.0</v>
      </c>
      <c r="B442" s="13">
        <v>440.0</v>
      </c>
      <c r="C442" s="9" t="str">
        <f t="array" ref="C442">IFERROR(INDEX(Data!F:F, MATCH($E442, Data!$B:$B, 0)), "")</f>
        <v/>
      </c>
      <c r="D442" s="9" t="str">
        <f t="array" ref="D442">IFERROR(INDEX(Data!A:A, MATCH($E442, Data!$B:$B, 0)), "")</f>
        <v/>
      </c>
      <c r="E442" s="9" t="str">
        <f>LARGE(Data!$B$2:$B1000,A442 )</f>
        <v>#NUM!</v>
      </c>
      <c r="F442" s="9" t="str">
        <f t="array" ref="F442">IFERROR(INDEX(Data!C:C, MATCH($E442, Data!$B:$B, 0)), "")</f>
        <v/>
      </c>
      <c r="G442" s="9" t="str">
        <f t="array" ref="G442">IFERROR(INDEX(Data!D:D, MATCH($E442, Data!$B:$B, 0)), "")</f>
        <v/>
      </c>
      <c r="H442" s="9" t="str">
        <f t="array" ref="H442">IFERROR(INDEX(Data!E:E, MATCH($E442, Data!$B:$B, 0)), "")</f>
        <v/>
      </c>
      <c r="I442" s="9" t="str">
        <f t="shared" si="1"/>
        <v/>
      </c>
      <c r="J442" s="9" t="str">
        <f t="shared" si="2"/>
        <v>#REF!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12">
        <v>441.0</v>
      </c>
      <c r="B443" s="13">
        <v>441.0</v>
      </c>
      <c r="C443" s="9" t="str">
        <f t="array" ref="C443">IFERROR(INDEX(Data!F:F, MATCH($E443, Data!$B:$B, 0)), "")</f>
        <v/>
      </c>
      <c r="D443" s="9" t="str">
        <f t="array" ref="D443">IFERROR(INDEX(Data!A:A, MATCH($E443, Data!$B:$B, 0)), "")</f>
        <v/>
      </c>
      <c r="E443" s="9" t="str">
        <f>LARGE(Data!$B$2:$B1000,A443 )</f>
        <v>#NUM!</v>
      </c>
      <c r="F443" s="9" t="str">
        <f t="array" ref="F443">IFERROR(INDEX(Data!C:C, MATCH($E443, Data!$B:$B, 0)), "")</f>
        <v/>
      </c>
      <c r="G443" s="9" t="str">
        <f t="array" ref="G443">IFERROR(INDEX(Data!D:D, MATCH($E443, Data!$B:$B, 0)), "")</f>
        <v/>
      </c>
      <c r="H443" s="9" t="str">
        <f t="array" ref="H443">IFERROR(INDEX(Data!E:E, MATCH($E443, Data!$B:$B, 0)), "")</f>
        <v/>
      </c>
      <c r="I443" s="9" t="str">
        <f t="shared" si="1"/>
        <v/>
      </c>
      <c r="J443" s="9" t="str">
        <f t="shared" si="2"/>
        <v>#REF!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12">
        <v>442.0</v>
      </c>
      <c r="B444" s="13">
        <v>442.0</v>
      </c>
      <c r="C444" s="9" t="str">
        <f t="array" ref="C444">IFERROR(INDEX(Data!F:F, MATCH($E444, Data!$B:$B, 0)), "")</f>
        <v/>
      </c>
      <c r="D444" s="9" t="str">
        <f t="array" ref="D444">IFERROR(INDEX(Data!A:A, MATCH($E444, Data!$B:$B, 0)), "")</f>
        <v/>
      </c>
      <c r="E444" s="9" t="str">
        <f>LARGE(Data!$B$2:$B1000,A444 )</f>
        <v>#NUM!</v>
      </c>
      <c r="F444" s="9" t="str">
        <f t="array" ref="F444">IFERROR(INDEX(Data!C:C, MATCH($E444, Data!$B:$B, 0)), "")</f>
        <v/>
      </c>
      <c r="G444" s="9" t="str">
        <f t="array" ref="G444">IFERROR(INDEX(Data!D:D, MATCH($E444, Data!$B:$B, 0)), "")</f>
        <v/>
      </c>
      <c r="H444" s="9" t="str">
        <f t="array" ref="H444">IFERROR(INDEX(Data!E:E, MATCH($E444, Data!$B:$B, 0)), "")</f>
        <v/>
      </c>
      <c r="I444" s="9" t="str">
        <f t="shared" si="1"/>
        <v/>
      </c>
      <c r="J444" s="9" t="str">
        <f t="shared" si="2"/>
        <v>#REF!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12">
        <v>443.0</v>
      </c>
      <c r="B445" s="13">
        <v>443.0</v>
      </c>
      <c r="C445" s="9" t="str">
        <f t="array" ref="C445">IFERROR(INDEX(Data!F:F, MATCH($E445, Data!$B:$B, 0)), "")</f>
        <v/>
      </c>
      <c r="D445" s="9" t="str">
        <f t="array" ref="D445">IFERROR(INDEX(Data!A:A, MATCH($E445, Data!$B:$B, 0)), "")</f>
        <v/>
      </c>
      <c r="E445" s="9" t="str">
        <f>LARGE(Data!$B$2:$B1000,A445 )</f>
        <v>#NUM!</v>
      </c>
      <c r="F445" s="9" t="str">
        <f t="array" ref="F445">IFERROR(INDEX(Data!C:C, MATCH($E445, Data!$B:$B, 0)), "")</f>
        <v/>
      </c>
      <c r="G445" s="9" t="str">
        <f t="array" ref="G445">IFERROR(INDEX(Data!D:D, MATCH($E445, Data!$B:$B, 0)), "")</f>
        <v/>
      </c>
      <c r="H445" s="9" t="str">
        <f t="array" ref="H445">IFERROR(INDEX(Data!E:E, MATCH($E445, Data!$B:$B, 0)), "")</f>
        <v/>
      </c>
      <c r="I445" s="9" t="str">
        <f t="shared" si="1"/>
        <v/>
      </c>
      <c r="J445" s="9" t="str">
        <f t="shared" si="2"/>
        <v>#REF!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12">
        <v>444.0</v>
      </c>
      <c r="B446" s="13">
        <v>444.0</v>
      </c>
      <c r="C446" s="9" t="str">
        <f t="array" ref="C446">IFERROR(INDEX(Data!F:F, MATCH($E446, Data!$B:$B, 0)), "")</f>
        <v/>
      </c>
      <c r="D446" s="9" t="str">
        <f t="array" ref="D446">IFERROR(INDEX(Data!A:A, MATCH($E446, Data!$B:$B, 0)), "")</f>
        <v/>
      </c>
      <c r="E446" s="9" t="str">
        <f>LARGE(Data!$B$2:$B1000,A446 )</f>
        <v>#NUM!</v>
      </c>
      <c r="F446" s="9" t="str">
        <f t="array" ref="F446">IFERROR(INDEX(Data!C:C, MATCH($E446, Data!$B:$B, 0)), "")</f>
        <v/>
      </c>
      <c r="G446" s="9" t="str">
        <f t="array" ref="G446">IFERROR(INDEX(Data!D:D, MATCH($E446, Data!$B:$B, 0)), "")</f>
        <v/>
      </c>
      <c r="H446" s="9" t="str">
        <f t="array" ref="H446">IFERROR(INDEX(Data!E:E, MATCH($E446, Data!$B:$B, 0)), "")</f>
        <v/>
      </c>
      <c r="I446" s="9" t="str">
        <f t="shared" si="1"/>
        <v/>
      </c>
      <c r="J446" s="9" t="str">
        <f t="shared" si="2"/>
        <v>#REF!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12">
        <v>445.0</v>
      </c>
      <c r="B447" s="13">
        <v>445.0</v>
      </c>
      <c r="C447" s="9" t="str">
        <f t="array" ref="C447">IFERROR(INDEX(Data!F:F, MATCH($E447, Data!$B:$B, 0)), "")</f>
        <v/>
      </c>
      <c r="D447" s="9" t="str">
        <f t="array" ref="D447">IFERROR(INDEX(Data!A:A, MATCH($E447, Data!$B:$B, 0)), "")</f>
        <v/>
      </c>
      <c r="E447" s="9" t="str">
        <f>LARGE(Data!$B$2:$B1000,A447 )</f>
        <v>#NUM!</v>
      </c>
      <c r="F447" s="9" t="str">
        <f t="array" ref="F447">IFERROR(INDEX(Data!C:C, MATCH($E447, Data!$B:$B, 0)), "")</f>
        <v/>
      </c>
      <c r="G447" s="9" t="str">
        <f t="array" ref="G447">IFERROR(INDEX(Data!D:D, MATCH($E447, Data!$B:$B, 0)), "")</f>
        <v/>
      </c>
      <c r="H447" s="9" t="str">
        <f t="array" ref="H447">IFERROR(INDEX(Data!E:E, MATCH($E447, Data!$B:$B, 0)), "")</f>
        <v/>
      </c>
      <c r="I447" s="9" t="str">
        <f t="shared" si="1"/>
        <v/>
      </c>
      <c r="J447" s="9" t="str">
        <f t="shared" si="2"/>
        <v>#REF!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12">
        <v>446.0</v>
      </c>
      <c r="B448" s="13">
        <v>446.0</v>
      </c>
      <c r="C448" s="9" t="str">
        <f t="array" ref="C448">IFERROR(INDEX(Data!F:F, MATCH($E448, Data!$B:$B, 0)), "")</f>
        <v/>
      </c>
      <c r="D448" s="9" t="str">
        <f t="array" ref="D448">IFERROR(INDEX(Data!A:A, MATCH($E448, Data!$B:$B, 0)), "")</f>
        <v/>
      </c>
      <c r="E448" s="9" t="str">
        <f>LARGE(Data!$B$2:$B1000,A448 )</f>
        <v>#NUM!</v>
      </c>
      <c r="F448" s="9" t="str">
        <f t="array" ref="F448">IFERROR(INDEX(Data!C:C, MATCH($E448, Data!$B:$B, 0)), "")</f>
        <v/>
      </c>
      <c r="G448" s="9" t="str">
        <f t="array" ref="G448">IFERROR(INDEX(Data!D:D, MATCH($E448, Data!$B:$B, 0)), "")</f>
        <v/>
      </c>
      <c r="H448" s="9" t="str">
        <f t="array" ref="H448">IFERROR(INDEX(Data!E:E, MATCH($E448, Data!$B:$B, 0)), "")</f>
        <v/>
      </c>
      <c r="I448" s="9" t="str">
        <f t="shared" si="1"/>
        <v/>
      </c>
      <c r="J448" s="9" t="str">
        <f t="shared" si="2"/>
        <v>#REF!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12">
        <v>447.0</v>
      </c>
      <c r="B449" s="13">
        <v>447.0</v>
      </c>
      <c r="C449" s="9" t="str">
        <f t="array" ref="C449">IFERROR(INDEX(Data!F:F, MATCH($E449, Data!$B:$B, 0)), "")</f>
        <v/>
      </c>
      <c r="D449" s="9" t="str">
        <f t="array" ref="D449">IFERROR(INDEX(Data!A:A, MATCH($E449, Data!$B:$B, 0)), "")</f>
        <v/>
      </c>
      <c r="E449" s="9" t="str">
        <f>LARGE(Data!$B$2:$B1000,A449 )</f>
        <v>#NUM!</v>
      </c>
      <c r="F449" s="9" t="str">
        <f t="array" ref="F449">IFERROR(INDEX(Data!C:C, MATCH($E449, Data!$B:$B, 0)), "")</f>
        <v/>
      </c>
      <c r="G449" s="9" t="str">
        <f t="array" ref="G449">IFERROR(INDEX(Data!D:D, MATCH($E449, Data!$B:$B, 0)), "")</f>
        <v/>
      </c>
      <c r="H449" s="9" t="str">
        <f t="array" ref="H449">IFERROR(INDEX(Data!E:E, MATCH($E449, Data!$B:$B, 0)), "")</f>
        <v/>
      </c>
      <c r="I449" s="9" t="str">
        <f t="shared" si="1"/>
        <v/>
      </c>
      <c r="J449" s="9" t="str">
        <f t="shared" si="2"/>
        <v>#REF!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12">
        <v>448.0</v>
      </c>
      <c r="B450" s="13">
        <v>448.0</v>
      </c>
      <c r="C450" s="9" t="str">
        <f t="array" ref="C450">IFERROR(INDEX(Data!F:F, MATCH($E450, Data!$B:$B, 0)), "")</f>
        <v/>
      </c>
      <c r="D450" s="9" t="str">
        <f t="array" ref="D450">IFERROR(INDEX(Data!A:A, MATCH($E450, Data!$B:$B, 0)), "")</f>
        <v/>
      </c>
      <c r="E450" s="9" t="str">
        <f>LARGE(Data!$B$2:$B1000,A450 )</f>
        <v>#NUM!</v>
      </c>
      <c r="F450" s="9" t="str">
        <f t="array" ref="F450">IFERROR(INDEX(Data!C:C, MATCH($E450, Data!$B:$B, 0)), "")</f>
        <v/>
      </c>
      <c r="G450" s="9" t="str">
        <f t="array" ref="G450">IFERROR(INDEX(Data!D:D, MATCH($E450, Data!$B:$B, 0)), "")</f>
        <v/>
      </c>
      <c r="H450" s="9" t="str">
        <f t="array" ref="H450">IFERROR(INDEX(Data!E:E, MATCH($E450, Data!$B:$B, 0)), "")</f>
        <v/>
      </c>
      <c r="I450" s="9" t="str">
        <f t="shared" si="1"/>
        <v/>
      </c>
      <c r="J450" s="9" t="str">
        <f t="shared" si="2"/>
        <v>#REF!</v>
      </c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12">
        <v>449.0</v>
      </c>
      <c r="B451" s="13">
        <v>449.0</v>
      </c>
      <c r="C451" s="9" t="str">
        <f t="array" ref="C451">IFERROR(INDEX(Data!F:F, MATCH($E451, Data!$B:$B, 0)), "")</f>
        <v/>
      </c>
      <c r="D451" s="9" t="str">
        <f t="array" ref="D451">IFERROR(INDEX(Data!A:A, MATCH($E451, Data!$B:$B, 0)), "")</f>
        <v/>
      </c>
      <c r="E451" s="9" t="str">
        <f>LARGE(Data!$B$2:$B1000,A451 )</f>
        <v>#NUM!</v>
      </c>
      <c r="F451" s="9" t="str">
        <f t="array" ref="F451">IFERROR(INDEX(Data!C:C, MATCH($E451, Data!$B:$B, 0)), "")</f>
        <v/>
      </c>
      <c r="G451" s="9" t="str">
        <f t="array" ref="G451">IFERROR(INDEX(Data!D:D, MATCH($E451, Data!$B:$B, 0)), "")</f>
        <v/>
      </c>
      <c r="H451" s="9" t="str">
        <f t="array" ref="H451">IFERROR(INDEX(Data!E:E, MATCH($E451, Data!$B:$B, 0)), "")</f>
        <v/>
      </c>
      <c r="I451" s="9" t="str">
        <f t="shared" si="1"/>
        <v/>
      </c>
      <c r="J451" s="9" t="str">
        <f t="shared" si="2"/>
        <v>#REF!</v>
      </c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12">
        <v>450.0</v>
      </c>
      <c r="B452" s="13">
        <v>450.0</v>
      </c>
      <c r="C452" s="9" t="str">
        <f t="array" ref="C452">IFERROR(INDEX(Data!F:F, MATCH($E452, Data!$B:$B, 0)), "")</f>
        <v/>
      </c>
      <c r="D452" s="9" t="str">
        <f t="array" ref="D452">IFERROR(INDEX(Data!A:A, MATCH($E452, Data!$B:$B, 0)), "")</f>
        <v/>
      </c>
      <c r="E452" s="9" t="str">
        <f>LARGE(Data!$B$2:$B1000,A452 )</f>
        <v>#NUM!</v>
      </c>
      <c r="F452" s="9" t="str">
        <f t="array" ref="F452">IFERROR(INDEX(Data!C:C, MATCH($E452, Data!$B:$B, 0)), "")</f>
        <v/>
      </c>
      <c r="G452" s="9" t="str">
        <f t="array" ref="G452">IFERROR(INDEX(Data!D:D, MATCH($E452, Data!$B:$B, 0)), "")</f>
        <v/>
      </c>
      <c r="H452" s="9" t="str">
        <f t="array" ref="H452">IFERROR(INDEX(Data!E:E, MATCH($E452, Data!$B:$B, 0)), "")</f>
        <v/>
      </c>
      <c r="I452" s="9" t="str">
        <f t="shared" si="1"/>
        <v/>
      </c>
      <c r="J452" s="9" t="str">
        <f t="shared" si="2"/>
        <v>#REF!</v>
      </c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12">
        <v>451.0</v>
      </c>
      <c r="B453" s="13">
        <v>451.0</v>
      </c>
      <c r="C453" s="9" t="str">
        <f t="array" ref="C453">IFERROR(INDEX(Data!F:F, MATCH($E453, Data!$B:$B, 0)), "")</f>
        <v/>
      </c>
      <c r="D453" s="9" t="str">
        <f t="array" ref="D453">IFERROR(INDEX(Data!A:A, MATCH($E453, Data!$B:$B, 0)), "")</f>
        <v/>
      </c>
      <c r="E453" s="9" t="str">
        <f>LARGE(Data!$B$2:$B1000,A453 )</f>
        <v>#NUM!</v>
      </c>
      <c r="F453" s="9" t="str">
        <f t="array" ref="F453">IFERROR(INDEX(Data!C:C, MATCH($E453, Data!$B:$B, 0)), "")</f>
        <v/>
      </c>
      <c r="G453" s="9" t="str">
        <f t="array" ref="G453">IFERROR(INDEX(Data!D:D, MATCH($E453, Data!$B:$B, 0)), "")</f>
        <v/>
      </c>
      <c r="H453" s="9" t="str">
        <f t="array" ref="H453">IFERROR(INDEX(Data!E:E, MATCH($E453, Data!$B:$B, 0)), "")</f>
        <v/>
      </c>
      <c r="I453" s="9" t="str">
        <f t="shared" si="1"/>
        <v/>
      </c>
      <c r="J453" s="9" t="str">
        <f t="shared" si="2"/>
        <v>#REF!</v>
      </c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12">
        <v>452.0</v>
      </c>
      <c r="B454" s="13">
        <v>452.0</v>
      </c>
      <c r="C454" s="9" t="str">
        <f t="array" ref="C454">IFERROR(INDEX(Data!F:F, MATCH($E454, Data!$B:$B, 0)), "")</f>
        <v/>
      </c>
      <c r="D454" s="9" t="str">
        <f t="array" ref="D454">IFERROR(INDEX(Data!A:A, MATCH($E454, Data!$B:$B, 0)), "")</f>
        <v/>
      </c>
      <c r="E454" s="9" t="str">
        <f>LARGE(Data!$B$2:$B1000,A454 )</f>
        <v>#NUM!</v>
      </c>
      <c r="F454" s="9" t="str">
        <f t="array" ref="F454">IFERROR(INDEX(Data!C:C, MATCH($E454, Data!$B:$B, 0)), "")</f>
        <v/>
      </c>
      <c r="G454" s="9" t="str">
        <f t="array" ref="G454">IFERROR(INDEX(Data!D:D, MATCH($E454, Data!$B:$B, 0)), "")</f>
        <v/>
      </c>
      <c r="H454" s="9" t="str">
        <f t="array" ref="H454">IFERROR(INDEX(Data!E:E, MATCH($E454, Data!$B:$B, 0)), "")</f>
        <v/>
      </c>
      <c r="I454" s="9" t="str">
        <f t="shared" si="1"/>
        <v/>
      </c>
      <c r="J454" s="9" t="str">
        <f t="shared" si="2"/>
        <v>#REF!</v>
      </c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12">
        <v>453.0</v>
      </c>
      <c r="B455" s="13">
        <v>453.0</v>
      </c>
      <c r="C455" s="9" t="str">
        <f t="array" ref="C455">IFERROR(INDEX(Data!F:F, MATCH($E455, Data!$B:$B, 0)), "")</f>
        <v/>
      </c>
      <c r="D455" s="9" t="str">
        <f t="array" ref="D455">IFERROR(INDEX(Data!A:A, MATCH($E455, Data!$B:$B, 0)), "")</f>
        <v/>
      </c>
      <c r="E455" s="9" t="str">
        <f>LARGE(Data!$B$2:$B1000,A455 )</f>
        <v>#NUM!</v>
      </c>
      <c r="F455" s="9" t="str">
        <f t="array" ref="F455">IFERROR(INDEX(Data!C:C, MATCH($E455, Data!$B:$B, 0)), "")</f>
        <v/>
      </c>
      <c r="G455" s="9" t="str">
        <f t="array" ref="G455">IFERROR(INDEX(Data!D:D, MATCH($E455, Data!$B:$B, 0)), "")</f>
        <v/>
      </c>
      <c r="H455" s="9" t="str">
        <f t="array" ref="H455">IFERROR(INDEX(Data!E:E, MATCH($E455, Data!$B:$B, 0)), "")</f>
        <v/>
      </c>
      <c r="I455" s="9" t="str">
        <f t="shared" si="1"/>
        <v/>
      </c>
      <c r="J455" s="9" t="str">
        <f t="shared" si="2"/>
        <v>#REF!</v>
      </c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12">
        <v>454.0</v>
      </c>
      <c r="B456" s="13">
        <v>454.0</v>
      </c>
      <c r="C456" s="9" t="str">
        <f t="array" ref="C456">IFERROR(INDEX(Data!F:F, MATCH($E456, Data!$B:$B, 0)), "")</f>
        <v/>
      </c>
      <c r="D456" s="9" t="str">
        <f t="array" ref="D456">IFERROR(INDEX(Data!A:A, MATCH($E456, Data!$B:$B, 0)), "")</f>
        <v/>
      </c>
      <c r="E456" s="9" t="str">
        <f>LARGE(Data!$B$2:$B1000,A456 )</f>
        <v>#NUM!</v>
      </c>
      <c r="F456" s="9" t="str">
        <f t="array" ref="F456">IFERROR(INDEX(Data!C:C, MATCH($E456, Data!$B:$B, 0)), "")</f>
        <v/>
      </c>
      <c r="G456" s="9" t="str">
        <f t="array" ref="G456">IFERROR(INDEX(Data!D:D, MATCH($E456, Data!$B:$B, 0)), "")</f>
        <v/>
      </c>
      <c r="H456" s="9" t="str">
        <f t="array" ref="H456">IFERROR(INDEX(Data!E:E, MATCH($E456, Data!$B:$B, 0)), "")</f>
        <v/>
      </c>
      <c r="I456" s="9" t="str">
        <f t="shared" si="1"/>
        <v/>
      </c>
      <c r="J456" s="9" t="str">
        <f t="shared" si="2"/>
        <v>#REF!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12">
        <v>455.0</v>
      </c>
      <c r="B457" s="13">
        <v>455.0</v>
      </c>
      <c r="C457" s="9" t="str">
        <f t="array" ref="C457">IFERROR(INDEX(Data!F:F, MATCH($E457, Data!$B:$B, 0)), "")</f>
        <v/>
      </c>
      <c r="D457" s="9" t="str">
        <f t="array" ref="D457">IFERROR(INDEX(Data!A:A, MATCH($E457, Data!$B:$B, 0)), "")</f>
        <v/>
      </c>
      <c r="E457" s="9" t="str">
        <f>LARGE(Data!$B$2:$B1000,A457 )</f>
        <v>#NUM!</v>
      </c>
      <c r="F457" s="9" t="str">
        <f t="array" ref="F457">IFERROR(INDEX(Data!C:C, MATCH($E457, Data!$B:$B, 0)), "")</f>
        <v/>
      </c>
      <c r="G457" s="9" t="str">
        <f t="array" ref="G457">IFERROR(INDEX(Data!D:D, MATCH($E457, Data!$B:$B, 0)), "")</f>
        <v/>
      </c>
      <c r="H457" s="9" t="str">
        <f t="array" ref="H457">IFERROR(INDEX(Data!E:E, MATCH($E457, Data!$B:$B, 0)), "")</f>
        <v/>
      </c>
      <c r="I457" s="9" t="str">
        <f t="shared" si="1"/>
        <v/>
      </c>
      <c r="J457" s="9" t="str">
        <f t="shared" si="2"/>
        <v>#REF!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12">
        <v>456.0</v>
      </c>
      <c r="B458" s="13">
        <v>456.0</v>
      </c>
      <c r="C458" s="9" t="str">
        <f t="array" ref="C458">IFERROR(INDEX(Data!F:F, MATCH($E458, Data!$B:$B, 0)), "")</f>
        <v/>
      </c>
      <c r="D458" s="9" t="str">
        <f t="array" ref="D458">IFERROR(INDEX(Data!A:A, MATCH($E458, Data!$B:$B, 0)), "")</f>
        <v/>
      </c>
      <c r="E458" s="9" t="str">
        <f>LARGE(Data!$B$2:$B1000,A458 )</f>
        <v>#NUM!</v>
      </c>
      <c r="F458" s="9" t="str">
        <f t="array" ref="F458">IFERROR(INDEX(Data!C:C, MATCH($E458, Data!$B:$B, 0)), "")</f>
        <v/>
      </c>
      <c r="G458" s="9" t="str">
        <f t="array" ref="G458">IFERROR(INDEX(Data!D:D, MATCH($E458, Data!$B:$B, 0)), "")</f>
        <v/>
      </c>
      <c r="H458" s="9" t="str">
        <f t="array" ref="H458">IFERROR(INDEX(Data!E:E, MATCH($E458, Data!$B:$B, 0)), "")</f>
        <v/>
      </c>
      <c r="I458" s="9" t="str">
        <f t="shared" si="1"/>
        <v/>
      </c>
      <c r="J458" s="9" t="str">
        <f t="shared" si="2"/>
        <v>#REF!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12">
        <v>457.0</v>
      </c>
      <c r="B459" s="13">
        <v>457.0</v>
      </c>
      <c r="C459" s="9" t="str">
        <f t="array" ref="C459">IFERROR(INDEX(Data!F:F, MATCH($E459, Data!$B:$B, 0)), "")</f>
        <v/>
      </c>
      <c r="D459" s="9" t="str">
        <f t="array" ref="D459">IFERROR(INDEX(Data!A:A, MATCH($E459, Data!$B:$B, 0)), "")</f>
        <v/>
      </c>
      <c r="E459" s="9" t="str">
        <f>LARGE(Data!$B$2:$B1000,A459 )</f>
        <v>#NUM!</v>
      </c>
      <c r="F459" s="9" t="str">
        <f t="array" ref="F459">IFERROR(INDEX(Data!C:C, MATCH($E459, Data!$B:$B, 0)), "")</f>
        <v/>
      </c>
      <c r="G459" s="9" t="str">
        <f t="array" ref="G459">IFERROR(INDEX(Data!D:D, MATCH($E459, Data!$B:$B, 0)), "")</f>
        <v/>
      </c>
      <c r="H459" s="9" t="str">
        <f t="array" ref="H459">IFERROR(INDEX(Data!E:E, MATCH($E459, Data!$B:$B, 0)), "")</f>
        <v/>
      </c>
      <c r="I459" s="9" t="str">
        <f t="shared" si="1"/>
        <v/>
      </c>
      <c r="J459" s="9" t="str">
        <f t="shared" si="2"/>
        <v>#REF!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12">
        <v>458.0</v>
      </c>
      <c r="B460" s="13">
        <v>458.0</v>
      </c>
      <c r="C460" s="9" t="str">
        <f t="array" ref="C460">IFERROR(INDEX(Data!F:F, MATCH($E460, Data!$B:$B, 0)), "")</f>
        <v/>
      </c>
      <c r="D460" s="9" t="str">
        <f t="array" ref="D460">IFERROR(INDEX(Data!A:A, MATCH($E460, Data!$B:$B, 0)), "")</f>
        <v/>
      </c>
      <c r="E460" s="9" t="str">
        <f>LARGE(Data!$B$2:$B1000,A460 )</f>
        <v>#NUM!</v>
      </c>
      <c r="F460" s="9" t="str">
        <f t="array" ref="F460">IFERROR(INDEX(Data!C:C, MATCH($E460, Data!$B:$B, 0)), "")</f>
        <v/>
      </c>
      <c r="G460" s="9" t="str">
        <f t="array" ref="G460">IFERROR(INDEX(Data!D:D, MATCH($E460, Data!$B:$B, 0)), "")</f>
        <v/>
      </c>
      <c r="H460" s="9" t="str">
        <f t="array" ref="H460">IFERROR(INDEX(Data!E:E, MATCH($E460, Data!$B:$B, 0)), "")</f>
        <v/>
      </c>
      <c r="I460" s="9" t="str">
        <f t="shared" si="1"/>
        <v/>
      </c>
      <c r="J460" s="9" t="str">
        <f t="shared" si="2"/>
        <v>#REF!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12">
        <v>459.0</v>
      </c>
      <c r="B461" s="13">
        <v>459.0</v>
      </c>
      <c r="C461" s="9" t="str">
        <f t="array" ref="C461">IFERROR(INDEX(Data!F:F, MATCH($E461, Data!$B:$B, 0)), "")</f>
        <v/>
      </c>
      <c r="D461" s="9" t="str">
        <f t="array" ref="D461">IFERROR(INDEX(Data!A:A, MATCH($E461, Data!$B:$B, 0)), "")</f>
        <v/>
      </c>
      <c r="E461" s="9" t="str">
        <f>LARGE(Data!$B$2:$B1000,A461 )</f>
        <v>#NUM!</v>
      </c>
      <c r="F461" s="9" t="str">
        <f t="array" ref="F461">IFERROR(INDEX(Data!C:C, MATCH($E461, Data!$B:$B, 0)), "")</f>
        <v/>
      </c>
      <c r="G461" s="9" t="str">
        <f t="array" ref="G461">IFERROR(INDEX(Data!D:D, MATCH($E461, Data!$B:$B, 0)), "")</f>
        <v/>
      </c>
      <c r="H461" s="9" t="str">
        <f t="array" ref="H461">IFERROR(INDEX(Data!E:E, MATCH($E461, Data!$B:$B, 0)), "")</f>
        <v/>
      </c>
      <c r="I461" s="9" t="str">
        <f t="shared" si="1"/>
        <v/>
      </c>
      <c r="J461" s="9" t="str">
        <f t="shared" si="2"/>
        <v>#REF!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12">
        <v>460.0</v>
      </c>
      <c r="B462" s="13">
        <v>460.0</v>
      </c>
      <c r="C462" s="9" t="str">
        <f t="array" ref="C462">IFERROR(INDEX(Data!F:F, MATCH($E462, Data!$B:$B, 0)), "")</f>
        <v/>
      </c>
      <c r="D462" s="9" t="str">
        <f t="array" ref="D462">IFERROR(INDEX(Data!A:A, MATCH($E462, Data!$B:$B, 0)), "")</f>
        <v/>
      </c>
      <c r="E462" s="9" t="str">
        <f>LARGE(Data!$B$2:$B1000,A462 )</f>
        <v>#NUM!</v>
      </c>
      <c r="F462" s="9" t="str">
        <f t="array" ref="F462">IFERROR(INDEX(Data!C:C, MATCH($E462, Data!$B:$B, 0)), "")</f>
        <v/>
      </c>
      <c r="G462" s="9" t="str">
        <f t="array" ref="G462">IFERROR(INDEX(Data!D:D, MATCH($E462, Data!$B:$B, 0)), "")</f>
        <v/>
      </c>
      <c r="H462" s="9" t="str">
        <f t="array" ref="H462">IFERROR(INDEX(Data!E:E, MATCH($E462, Data!$B:$B, 0)), "")</f>
        <v/>
      </c>
      <c r="I462" s="9" t="str">
        <f t="shared" si="1"/>
        <v/>
      </c>
      <c r="J462" s="9" t="str">
        <f t="shared" si="2"/>
        <v>#REF!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12">
        <v>461.0</v>
      </c>
      <c r="B463" s="13">
        <v>461.0</v>
      </c>
      <c r="C463" s="9" t="str">
        <f t="array" ref="C463">IFERROR(INDEX(Data!F:F, MATCH($E463, Data!$B:$B, 0)), "")</f>
        <v/>
      </c>
      <c r="D463" s="9" t="str">
        <f t="array" ref="D463">IFERROR(INDEX(Data!A:A, MATCH($E463, Data!$B:$B, 0)), "")</f>
        <v/>
      </c>
      <c r="E463" s="9" t="str">
        <f>LARGE(Data!$B$2:$B1000,A463 )</f>
        <v>#NUM!</v>
      </c>
      <c r="F463" s="9" t="str">
        <f t="array" ref="F463">IFERROR(INDEX(Data!C:C, MATCH($E463, Data!$B:$B, 0)), "")</f>
        <v/>
      </c>
      <c r="G463" s="9" t="str">
        <f t="array" ref="G463">IFERROR(INDEX(Data!D:D, MATCH($E463, Data!$B:$B, 0)), "")</f>
        <v/>
      </c>
      <c r="H463" s="9" t="str">
        <f t="array" ref="H463">IFERROR(INDEX(Data!E:E, MATCH($E463, Data!$B:$B, 0)), "")</f>
        <v/>
      </c>
      <c r="I463" s="9" t="str">
        <f t="shared" si="1"/>
        <v/>
      </c>
      <c r="J463" s="9" t="str">
        <f t="shared" si="2"/>
        <v>#REF!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12">
        <v>462.0</v>
      </c>
      <c r="B464" s="13">
        <v>462.0</v>
      </c>
      <c r="C464" s="9" t="str">
        <f t="array" ref="C464">IFERROR(INDEX(Data!F:F, MATCH($E464, Data!$B:$B, 0)), "")</f>
        <v/>
      </c>
      <c r="D464" s="9" t="str">
        <f t="array" ref="D464">IFERROR(INDEX(Data!A:A, MATCH($E464, Data!$B:$B, 0)), "")</f>
        <v/>
      </c>
      <c r="E464" s="9" t="str">
        <f>LARGE(Data!$B$2:$B1000,A464 )</f>
        <v>#NUM!</v>
      </c>
      <c r="F464" s="9" t="str">
        <f t="array" ref="F464">IFERROR(INDEX(Data!C:C, MATCH($E464, Data!$B:$B, 0)), "")</f>
        <v/>
      </c>
      <c r="G464" s="9" t="str">
        <f t="array" ref="G464">IFERROR(INDEX(Data!D:D, MATCH($E464, Data!$B:$B, 0)), "")</f>
        <v/>
      </c>
      <c r="H464" s="9" t="str">
        <f t="array" ref="H464">IFERROR(INDEX(Data!E:E, MATCH($E464, Data!$B:$B, 0)), "")</f>
        <v/>
      </c>
      <c r="I464" s="9" t="str">
        <f t="shared" si="1"/>
        <v/>
      </c>
      <c r="J464" s="9" t="str">
        <f t="shared" si="2"/>
        <v>#REF!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12">
        <v>463.0</v>
      </c>
      <c r="B465" s="13">
        <v>463.0</v>
      </c>
      <c r="C465" s="9" t="str">
        <f t="array" ref="C465">IFERROR(INDEX(Data!F:F, MATCH($E465, Data!$B:$B, 0)), "")</f>
        <v/>
      </c>
      <c r="D465" s="9" t="str">
        <f t="array" ref="D465">IFERROR(INDEX(Data!A:A, MATCH($E465, Data!$B:$B, 0)), "")</f>
        <v/>
      </c>
      <c r="E465" s="9" t="str">
        <f>LARGE(Data!$B$2:$B1000,A465 )</f>
        <v>#NUM!</v>
      </c>
      <c r="F465" s="9" t="str">
        <f t="array" ref="F465">IFERROR(INDEX(Data!C:C, MATCH($E465, Data!$B:$B, 0)), "")</f>
        <v/>
      </c>
      <c r="G465" s="9" t="str">
        <f t="array" ref="G465">IFERROR(INDEX(Data!D:D, MATCH($E465, Data!$B:$B, 0)), "")</f>
        <v/>
      </c>
      <c r="H465" s="9" t="str">
        <f t="array" ref="H465">IFERROR(INDEX(Data!E:E, MATCH($E465, Data!$B:$B, 0)), "")</f>
        <v/>
      </c>
      <c r="I465" s="9" t="str">
        <f t="shared" si="1"/>
        <v/>
      </c>
      <c r="J465" s="9" t="str">
        <f t="shared" si="2"/>
        <v>#REF!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12">
        <v>464.0</v>
      </c>
      <c r="B466" s="13">
        <v>464.0</v>
      </c>
      <c r="C466" s="9" t="str">
        <f t="array" ref="C466">IFERROR(INDEX(Data!F:F, MATCH($E466, Data!$B:$B, 0)), "")</f>
        <v/>
      </c>
      <c r="D466" s="9" t="str">
        <f t="array" ref="D466">IFERROR(INDEX(Data!A:A, MATCH($E466, Data!$B:$B, 0)), "")</f>
        <v/>
      </c>
      <c r="E466" s="9" t="str">
        <f>LARGE(Data!$B$2:$B1000,A466 )</f>
        <v>#NUM!</v>
      </c>
      <c r="F466" s="9" t="str">
        <f t="array" ref="F466">IFERROR(INDEX(Data!C:C, MATCH($E466, Data!$B:$B, 0)), "")</f>
        <v/>
      </c>
      <c r="G466" s="9" t="str">
        <f t="array" ref="G466">IFERROR(INDEX(Data!D:D, MATCH($E466, Data!$B:$B, 0)), "")</f>
        <v/>
      </c>
      <c r="H466" s="9" t="str">
        <f t="array" ref="H466">IFERROR(INDEX(Data!E:E, MATCH($E466, Data!$B:$B, 0)), "")</f>
        <v/>
      </c>
      <c r="I466" s="9" t="str">
        <f t="shared" si="1"/>
        <v/>
      </c>
      <c r="J466" s="9" t="str">
        <f t="shared" si="2"/>
        <v>#REF!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12">
        <v>465.0</v>
      </c>
      <c r="B467" s="13">
        <v>465.0</v>
      </c>
      <c r="C467" s="9" t="str">
        <f t="array" ref="C467">IFERROR(INDEX(Data!F:F, MATCH($E467, Data!$B:$B, 0)), "")</f>
        <v/>
      </c>
      <c r="D467" s="9" t="str">
        <f t="array" ref="D467">IFERROR(INDEX(Data!A:A, MATCH($E467, Data!$B:$B, 0)), "")</f>
        <v/>
      </c>
      <c r="E467" s="9" t="str">
        <f>LARGE(Data!$B$2:$B1000,A467 )</f>
        <v>#NUM!</v>
      </c>
      <c r="F467" s="9" t="str">
        <f t="array" ref="F467">IFERROR(INDEX(Data!C:C, MATCH($E467, Data!$B:$B, 0)), "")</f>
        <v/>
      </c>
      <c r="G467" s="9" t="str">
        <f t="array" ref="G467">IFERROR(INDEX(Data!D:D, MATCH($E467, Data!$B:$B, 0)), "")</f>
        <v/>
      </c>
      <c r="H467" s="9" t="str">
        <f t="array" ref="H467">IFERROR(INDEX(Data!E:E, MATCH($E467, Data!$B:$B, 0)), "")</f>
        <v/>
      </c>
      <c r="I467" s="9" t="str">
        <f t="shared" si="1"/>
        <v/>
      </c>
      <c r="J467" s="9" t="str">
        <f t="shared" si="2"/>
        <v>#REF!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12">
        <v>466.0</v>
      </c>
      <c r="B468" s="13">
        <v>466.0</v>
      </c>
      <c r="C468" s="9" t="str">
        <f t="array" ref="C468">IFERROR(INDEX(Data!F:F, MATCH($E468, Data!$B:$B, 0)), "")</f>
        <v/>
      </c>
      <c r="D468" s="9" t="str">
        <f t="array" ref="D468">IFERROR(INDEX(Data!A:A, MATCH($E468, Data!$B:$B, 0)), "")</f>
        <v/>
      </c>
      <c r="E468" s="9" t="str">
        <f>LARGE(Data!$B$2:$B1000,A468 )</f>
        <v>#NUM!</v>
      </c>
      <c r="F468" s="9" t="str">
        <f t="array" ref="F468">IFERROR(INDEX(Data!C:C, MATCH($E468, Data!$B:$B, 0)), "")</f>
        <v/>
      </c>
      <c r="G468" s="9" t="str">
        <f t="array" ref="G468">IFERROR(INDEX(Data!D:D, MATCH($E468, Data!$B:$B, 0)), "")</f>
        <v/>
      </c>
      <c r="H468" s="9" t="str">
        <f t="array" ref="H468">IFERROR(INDEX(Data!E:E, MATCH($E468, Data!$B:$B, 0)), "")</f>
        <v/>
      </c>
      <c r="I468" s="9" t="str">
        <f t="shared" si="1"/>
        <v/>
      </c>
      <c r="J468" s="9" t="str">
        <f t="shared" si="2"/>
        <v>#REF!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12">
        <v>467.0</v>
      </c>
      <c r="B469" s="13">
        <v>467.0</v>
      </c>
      <c r="C469" s="9" t="str">
        <f t="array" ref="C469">IFERROR(INDEX(Data!F:F, MATCH($E469, Data!$B:$B, 0)), "")</f>
        <v/>
      </c>
      <c r="D469" s="9" t="str">
        <f t="array" ref="D469">IFERROR(INDEX(Data!A:A, MATCH($E469, Data!$B:$B, 0)), "")</f>
        <v/>
      </c>
      <c r="E469" s="9" t="str">
        <f>LARGE(Data!$B$2:$B1000,A469 )</f>
        <v>#NUM!</v>
      </c>
      <c r="F469" s="9" t="str">
        <f t="array" ref="F469">IFERROR(INDEX(Data!C:C, MATCH($E469, Data!$B:$B, 0)), "")</f>
        <v/>
      </c>
      <c r="G469" s="9" t="str">
        <f t="array" ref="G469">IFERROR(INDEX(Data!D:D, MATCH($E469, Data!$B:$B, 0)), "")</f>
        <v/>
      </c>
      <c r="H469" s="9" t="str">
        <f t="array" ref="H469">IFERROR(INDEX(Data!E:E, MATCH($E469, Data!$B:$B, 0)), "")</f>
        <v/>
      </c>
      <c r="I469" s="9" t="str">
        <f t="shared" si="1"/>
        <v/>
      </c>
      <c r="J469" s="9" t="str">
        <f t="shared" si="2"/>
        <v>#REF!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12">
        <v>468.0</v>
      </c>
      <c r="B470" s="13">
        <v>468.0</v>
      </c>
      <c r="C470" s="9" t="str">
        <f t="array" ref="C470">IFERROR(INDEX(Data!F:F, MATCH($E470, Data!$B:$B, 0)), "")</f>
        <v/>
      </c>
      <c r="D470" s="9" t="str">
        <f t="array" ref="D470">IFERROR(INDEX(Data!A:A, MATCH($E470, Data!$B:$B, 0)), "")</f>
        <v/>
      </c>
      <c r="E470" s="9" t="str">
        <f>LARGE(Data!$B$2:$B1000,A470 )</f>
        <v>#NUM!</v>
      </c>
      <c r="F470" s="9" t="str">
        <f t="array" ref="F470">IFERROR(INDEX(Data!C:C, MATCH($E470, Data!$B:$B, 0)), "")</f>
        <v/>
      </c>
      <c r="G470" s="9" t="str">
        <f t="array" ref="G470">IFERROR(INDEX(Data!D:D, MATCH($E470, Data!$B:$B, 0)), "")</f>
        <v/>
      </c>
      <c r="H470" s="9" t="str">
        <f t="array" ref="H470">IFERROR(INDEX(Data!E:E, MATCH($E470, Data!$B:$B, 0)), "")</f>
        <v/>
      </c>
      <c r="I470" s="9" t="str">
        <f t="shared" si="1"/>
        <v/>
      </c>
      <c r="J470" s="9" t="str">
        <f t="shared" si="2"/>
        <v>#REF!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12">
        <v>469.0</v>
      </c>
      <c r="B471" s="13">
        <v>469.0</v>
      </c>
      <c r="C471" s="9" t="str">
        <f t="array" ref="C471">IFERROR(INDEX(Data!F:F, MATCH($E471, Data!$B:$B, 0)), "")</f>
        <v/>
      </c>
      <c r="D471" s="9" t="str">
        <f t="array" ref="D471">IFERROR(INDEX(Data!A:A, MATCH($E471, Data!$B:$B, 0)), "")</f>
        <v/>
      </c>
      <c r="E471" s="9" t="str">
        <f>LARGE(Data!$B$2:$B1000,A471 )</f>
        <v>#NUM!</v>
      </c>
      <c r="F471" s="9" t="str">
        <f t="array" ref="F471">IFERROR(INDEX(Data!C:C, MATCH($E471, Data!$B:$B, 0)), "")</f>
        <v/>
      </c>
      <c r="G471" s="9" t="str">
        <f t="array" ref="G471">IFERROR(INDEX(Data!D:D, MATCH($E471, Data!$B:$B, 0)), "")</f>
        <v/>
      </c>
      <c r="H471" s="9" t="str">
        <f t="array" ref="H471">IFERROR(INDEX(Data!E:E, MATCH($E471, Data!$B:$B, 0)), "")</f>
        <v/>
      </c>
      <c r="I471" s="9" t="str">
        <f t="shared" si="1"/>
        <v/>
      </c>
      <c r="J471" s="9" t="str">
        <f t="shared" si="2"/>
        <v>#REF!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12">
        <v>470.0</v>
      </c>
      <c r="B472" s="13">
        <v>470.0</v>
      </c>
      <c r="C472" s="9" t="str">
        <f t="array" ref="C472">IFERROR(INDEX(Data!F:F, MATCH($E472, Data!$B:$B, 0)), "")</f>
        <v/>
      </c>
      <c r="D472" s="9" t="str">
        <f t="array" ref="D472">IFERROR(INDEX(Data!A:A, MATCH($E472, Data!$B:$B, 0)), "")</f>
        <v/>
      </c>
      <c r="E472" s="9" t="str">
        <f>LARGE(Data!$B$2:$B1000,A472 )</f>
        <v>#NUM!</v>
      </c>
      <c r="F472" s="9" t="str">
        <f t="array" ref="F472">IFERROR(INDEX(Data!C:C, MATCH($E472, Data!$B:$B, 0)), "")</f>
        <v/>
      </c>
      <c r="G472" s="9" t="str">
        <f t="array" ref="G472">IFERROR(INDEX(Data!D:D, MATCH($E472, Data!$B:$B, 0)), "")</f>
        <v/>
      </c>
      <c r="H472" s="9" t="str">
        <f t="array" ref="H472">IFERROR(INDEX(Data!E:E, MATCH($E472, Data!$B:$B, 0)), "")</f>
        <v/>
      </c>
      <c r="I472" s="9" t="str">
        <f t="shared" si="1"/>
        <v/>
      </c>
      <c r="J472" s="9" t="str">
        <f t="shared" si="2"/>
        <v>#REF!</v>
      </c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12">
        <v>471.0</v>
      </c>
      <c r="B473" s="13">
        <v>471.0</v>
      </c>
      <c r="C473" s="9" t="str">
        <f t="array" ref="C473">IFERROR(INDEX(Data!F:F, MATCH($E473, Data!$B:$B, 0)), "")</f>
        <v/>
      </c>
      <c r="D473" s="9" t="str">
        <f t="array" ref="D473">IFERROR(INDEX(Data!A:A, MATCH($E473, Data!$B:$B, 0)), "")</f>
        <v/>
      </c>
      <c r="E473" s="9" t="str">
        <f>LARGE(Data!$B$2:$B1000,A473 )</f>
        <v>#NUM!</v>
      </c>
      <c r="F473" s="9" t="str">
        <f t="array" ref="F473">IFERROR(INDEX(Data!C:C, MATCH($E473, Data!$B:$B, 0)), "")</f>
        <v/>
      </c>
      <c r="G473" s="9" t="str">
        <f t="array" ref="G473">IFERROR(INDEX(Data!D:D, MATCH($E473, Data!$B:$B, 0)), "")</f>
        <v/>
      </c>
      <c r="H473" s="9" t="str">
        <f t="array" ref="H473">IFERROR(INDEX(Data!E:E, MATCH($E473, Data!$B:$B, 0)), "")</f>
        <v/>
      </c>
      <c r="I473" s="9" t="str">
        <f t="shared" si="1"/>
        <v/>
      </c>
      <c r="J473" s="9" t="str">
        <f t="shared" si="2"/>
        <v>#REF!</v>
      </c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12">
        <v>472.0</v>
      </c>
      <c r="B474" s="13">
        <v>472.0</v>
      </c>
      <c r="C474" s="9" t="str">
        <f t="array" ref="C474">IFERROR(INDEX(Data!F:F, MATCH($E474, Data!$B:$B, 0)), "")</f>
        <v/>
      </c>
      <c r="D474" s="9" t="str">
        <f t="array" ref="D474">IFERROR(INDEX(Data!A:A, MATCH($E474, Data!$B:$B, 0)), "")</f>
        <v/>
      </c>
      <c r="E474" s="9" t="str">
        <f>LARGE(Data!$B$2:$B1000,A474 )</f>
        <v>#NUM!</v>
      </c>
      <c r="F474" s="9" t="str">
        <f t="array" ref="F474">IFERROR(INDEX(Data!C:C, MATCH($E474, Data!$B:$B, 0)), "")</f>
        <v/>
      </c>
      <c r="G474" s="9" t="str">
        <f t="array" ref="G474">IFERROR(INDEX(Data!D:D, MATCH($E474, Data!$B:$B, 0)), "")</f>
        <v/>
      </c>
      <c r="H474" s="9" t="str">
        <f t="array" ref="H474">IFERROR(INDEX(Data!E:E, MATCH($E474, Data!$B:$B, 0)), "")</f>
        <v/>
      </c>
      <c r="I474" s="9" t="str">
        <f t="shared" si="1"/>
        <v/>
      </c>
      <c r="J474" s="9" t="str">
        <f t="shared" si="2"/>
        <v>#REF!</v>
      </c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12">
        <v>473.0</v>
      </c>
      <c r="B475" s="13">
        <v>473.0</v>
      </c>
      <c r="C475" s="9" t="str">
        <f t="array" ref="C475">IFERROR(INDEX(Data!F:F, MATCH($E475, Data!$B:$B, 0)), "")</f>
        <v/>
      </c>
      <c r="D475" s="9" t="str">
        <f t="array" ref="D475">IFERROR(INDEX(Data!A:A, MATCH($E475, Data!$B:$B, 0)), "")</f>
        <v/>
      </c>
      <c r="E475" s="9" t="str">
        <f>LARGE(Data!$B$2:$B1000,A475 )</f>
        <v>#NUM!</v>
      </c>
      <c r="F475" s="9" t="str">
        <f t="array" ref="F475">IFERROR(INDEX(Data!C:C, MATCH($E475, Data!$B:$B, 0)), "")</f>
        <v/>
      </c>
      <c r="G475" s="9" t="str">
        <f t="array" ref="G475">IFERROR(INDEX(Data!D:D, MATCH($E475, Data!$B:$B, 0)), "")</f>
        <v/>
      </c>
      <c r="H475" s="9" t="str">
        <f t="array" ref="H475">IFERROR(INDEX(Data!E:E, MATCH($E475, Data!$B:$B, 0)), "")</f>
        <v/>
      </c>
      <c r="I475" s="9" t="str">
        <f t="shared" si="1"/>
        <v/>
      </c>
      <c r="J475" s="9" t="str">
        <f t="shared" si="2"/>
        <v>#REF!</v>
      </c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12">
        <v>474.0</v>
      </c>
      <c r="B476" s="13">
        <v>474.0</v>
      </c>
      <c r="C476" s="9" t="str">
        <f t="array" ref="C476">IFERROR(INDEX(Data!F:F, MATCH($E476, Data!$B:$B, 0)), "")</f>
        <v/>
      </c>
      <c r="D476" s="9" t="str">
        <f t="array" ref="D476">IFERROR(INDEX(Data!A:A, MATCH($E476, Data!$B:$B, 0)), "")</f>
        <v/>
      </c>
      <c r="E476" s="9" t="str">
        <f>LARGE(Data!$B$2:$B1000,A476 )</f>
        <v>#NUM!</v>
      </c>
      <c r="F476" s="9" t="str">
        <f t="array" ref="F476">IFERROR(INDEX(Data!C:C, MATCH($E476, Data!$B:$B, 0)), "")</f>
        <v/>
      </c>
      <c r="G476" s="9" t="str">
        <f t="array" ref="G476">IFERROR(INDEX(Data!D:D, MATCH($E476, Data!$B:$B, 0)), "")</f>
        <v/>
      </c>
      <c r="H476" s="9" t="str">
        <f t="array" ref="H476">IFERROR(INDEX(Data!E:E, MATCH($E476, Data!$B:$B, 0)), "")</f>
        <v/>
      </c>
      <c r="I476" s="9" t="str">
        <f t="shared" si="1"/>
        <v/>
      </c>
      <c r="J476" s="9" t="str">
        <f t="shared" si="2"/>
        <v>#REF!</v>
      </c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12">
        <v>475.0</v>
      </c>
      <c r="B477" s="13">
        <v>475.0</v>
      </c>
      <c r="C477" s="9" t="str">
        <f t="array" ref="C477">IFERROR(INDEX(Data!F:F, MATCH($E477, Data!$B:$B, 0)), "")</f>
        <v/>
      </c>
      <c r="D477" s="9" t="str">
        <f t="array" ref="D477">IFERROR(INDEX(Data!A:A, MATCH($E477, Data!$B:$B, 0)), "")</f>
        <v/>
      </c>
      <c r="E477" s="9" t="str">
        <f>LARGE(Data!$B$2:$B1000,A477 )</f>
        <v>#NUM!</v>
      </c>
      <c r="F477" s="9" t="str">
        <f t="array" ref="F477">IFERROR(INDEX(Data!C:C, MATCH($E477, Data!$B:$B, 0)), "")</f>
        <v/>
      </c>
      <c r="G477" s="9" t="str">
        <f t="array" ref="G477">IFERROR(INDEX(Data!D:D, MATCH($E477, Data!$B:$B, 0)), "")</f>
        <v/>
      </c>
      <c r="H477" s="9" t="str">
        <f t="array" ref="H477">IFERROR(INDEX(Data!E:E, MATCH($E477, Data!$B:$B, 0)), "")</f>
        <v/>
      </c>
      <c r="I477" s="9" t="str">
        <f t="shared" si="1"/>
        <v/>
      </c>
      <c r="J477" s="9" t="str">
        <f t="shared" si="2"/>
        <v>#REF!</v>
      </c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12">
        <v>476.0</v>
      </c>
      <c r="B478" s="13">
        <v>476.0</v>
      </c>
      <c r="C478" s="9" t="str">
        <f t="array" ref="C478">IFERROR(INDEX(Data!F:F, MATCH($E478, Data!$B:$B, 0)), "")</f>
        <v/>
      </c>
      <c r="D478" s="9" t="str">
        <f t="array" ref="D478">IFERROR(INDEX(Data!A:A, MATCH($E478, Data!$B:$B, 0)), "")</f>
        <v/>
      </c>
      <c r="E478" s="9" t="str">
        <f>LARGE(Data!$B$2:$B1000,A478 )</f>
        <v>#NUM!</v>
      </c>
      <c r="F478" s="9" t="str">
        <f t="array" ref="F478">IFERROR(INDEX(Data!C:C, MATCH($E478, Data!$B:$B, 0)), "")</f>
        <v/>
      </c>
      <c r="G478" s="9" t="str">
        <f t="array" ref="G478">IFERROR(INDEX(Data!D:D, MATCH($E478, Data!$B:$B, 0)), "")</f>
        <v/>
      </c>
      <c r="H478" s="9" t="str">
        <f t="array" ref="H478">IFERROR(INDEX(Data!E:E, MATCH($E478, Data!$B:$B, 0)), "")</f>
        <v/>
      </c>
      <c r="I478" s="9" t="str">
        <f t="shared" si="1"/>
        <v/>
      </c>
      <c r="J478" s="9" t="str">
        <f t="shared" si="2"/>
        <v>#REF!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12">
        <v>477.0</v>
      </c>
      <c r="B479" s="13">
        <v>477.0</v>
      </c>
      <c r="C479" s="9" t="str">
        <f t="array" ref="C479">IFERROR(INDEX(Data!F:F, MATCH($E479, Data!$B:$B, 0)), "")</f>
        <v/>
      </c>
      <c r="D479" s="9" t="str">
        <f t="array" ref="D479">IFERROR(INDEX(Data!A:A, MATCH($E479, Data!$B:$B, 0)), "")</f>
        <v/>
      </c>
      <c r="E479" s="9" t="str">
        <f>LARGE(Data!$B$2:$B1000,A479 )</f>
        <v>#NUM!</v>
      </c>
      <c r="F479" s="9" t="str">
        <f t="array" ref="F479">IFERROR(INDEX(Data!C:C, MATCH($E479, Data!$B:$B, 0)), "")</f>
        <v/>
      </c>
      <c r="G479" s="9" t="str">
        <f t="array" ref="G479">IFERROR(INDEX(Data!D:D, MATCH($E479, Data!$B:$B, 0)), "")</f>
        <v/>
      </c>
      <c r="H479" s="9" t="str">
        <f t="array" ref="H479">IFERROR(INDEX(Data!E:E, MATCH($E479, Data!$B:$B, 0)), "")</f>
        <v/>
      </c>
      <c r="I479" s="9" t="str">
        <f t="shared" si="1"/>
        <v/>
      </c>
      <c r="J479" s="9" t="str">
        <f t="shared" si="2"/>
        <v>#REF!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12">
        <v>478.0</v>
      </c>
      <c r="B480" s="13">
        <v>478.0</v>
      </c>
      <c r="C480" s="9" t="str">
        <f t="array" ref="C480">IFERROR(INDEX(Data!F:F, MATCH($E480, Data!$B:$B, 0)), "")</f>
        <v/>
      </c>
      <c r="D480" s="9" t="str">
        <f t="array" ref="D480">IFERROR(INDEX(Data!A:A, MATCH($E480, Data!$B:$B, 0)), "")</f>
        <v/>
      </c>
      <c r="E480" s="9" t="str">
        <f>LARGE(Data!$B$2:$B1000,A480 )</f>
        <v>#NUM!</v>
      </c>
      <c r="F480" s="9" t="str">
        <f t="array" ref="F480">IFERROR(INDEX(Data!C:C, MATCH($E480, Data!$B:$B, 0)), "")</f>
        <v/>
      </c>
      <c r="G480" s="9" t="str">
        <f t="array" ref="G480">IFERROR(INDEX(Data!D:D, MATCH($E480, Data!$B:$B, 0)), "")</f>
        <v/>
      </c>
      <c r="H480" s="9" t="str">
        <f t="array" ref="H480">IFERROR(INDEX(Data!E:E, MATCH($E480, Data!$B:$B, 0)), "")</f>
        <v/>
      </c>
      <c r="I480" s="9" t="str">
        <f t="shared" si="1"/>
        <v/>
      </c>
      <c r="J480" s="9" t="str">
        <f t="shared" si="2"/>
        <v>#REF!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12">
        <v>479.0</v>
      </c>
      <c r="B481" s="13">
        <v>479.0</v>
      </c>
      <c r="C481" s="9" t="str">
        <f t="array" ref="C481">IFERROR(INDEX(Data!F:F, MATCH($E481, Data!$B:$B, 0)), "")</f>
        <v/>
      </c>
      <c r="D481" s="9" t="str">
        <f t="array" ref="D481">IFERROR(INDEX(Data!A:A, MATCH($E481, Data!$B:$B, 0)), "")</f>
        <v/>
      </c>
      <c r="E481" s="9" t="str">
        <f>LARGE(Data!$B$2:$B1000,A481 )</f>
        <v>#NUM!</v>
      </c>
      <c r="F481" s="9" t="str">
        <f t="array" ref="F481">IFERROR(INDEX(Data!C:C, MATCH($E481, Data!$B:$B, 0)), "")</f>
        <v/>
      </c>
      <c r="G481" s="9" t="str">
        <f t="array" ref="G481">IFERROR(INDEX(Data!D:D, MATCH($E481, Data!$B:$B, 0)), "")</f>
        <v/>
      </c>
      <c r="H481" s="9" t="str">
        <f t="array" ref="H481">IFERROR(INDEX(Data!E:E, MATCH($E481, Data!$B:$B, 0)), "")</f>
        <v/>
      </c>
      <c r="I481" s="9" t="str">
        <f t="shared" si="1"/>
        <v/>
      </c>
      <c r="J481" s="9" t="str">
        <f t="shared" si="2"/>
        <v>#REF!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12">
        <v>480.0</v>
      </c>
      <c r="B482" s="13">
        <v>480.0</v>
      </c>
      <c r="C482" s="9" t="str">
        <f t="array" ref="C482">IFERROR(INDEX(Data!F:F, MATCH($E482, Data!$B:$B, 0)), "")</f>
        <v/>
      </c>
      <c r="D482" s="9" t="str">
        <f t="array" ref="D482">IFERROR(INDEX(Data!A:A, MATCH($E482, Data!$B:$B, 0)), "")</f>
        <v/>
      </c>
      <c r="E482" s="9" t="str">
        <f>LARGE(Data!$B$2:$B1000,A482 )</f>
        <v>#NUM!</v>
      </c>
      <c r="F482" s="9" t="str">
        <f t="array" ref="F482">IFERROR(INDEX(Data!C:C, MATCH($E482, Data!$B:$B, 0)), "")</f>
        <v/>
      </c>
      <c r="G482" s="9" t="str">
        <f t="array" ref="G482">IFERROR(INDEX(Data!D:D, MATCH($E482, Data!$B:$B, 0)), "")</f>
        <v/>
      </c>
      <c r="H482" s="9" t="str">
        <f t="array" ref="H482">IFERROR(INDEX(Data!E:E, MATCH($E482, Data!$B:$B, 0)), "")</f>
        <v/>
      </c>
      <c r="I482" s="9" t="str">
        <f t="shared" si="1"/>
        <v/>
      </c>
      <c r="J482" s="9" t="str">
        <f t="shared" si="2"/>
        <v>#REF!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12">
        <v>481.0</v>
      </c>
      <c r="B483" s="13">
        <v>481.0</v>
      </c>
      <c r="C483" s="9" t="str">
        <f t="array" ref="C483">IFERROR(INDEX(Data!F:F, MATCH($E483, Data!$B:$B, 0)), "")</f>
        <v/>
      </c>
      <c r="D483" s="9" t="str">
        <f t="array" ref="D483">IFERROR(INDEX(Data!A:A, MATCH($E483, Data!$B:$B, 0)), "")</f>
        <v/>
      </c>
      <c r="E483" s="9" t="str">
        <f>LARGE(Data!$B$2:$B1000,A483 )</f>
        <v>#NUM!</v>
      </c>
      <c r="F483" s="9" t="str">
        <f t="array" ref="F483">IFERROR(INDEX(Data!C:C, MATCH($E483, Data!$B:$B, 0)), "")</f>
        <v/>
      </c>
      <c r="G483" s="9" t="str">
        <f t="array" ref="G483">IFERROR(INDEX(Data!D:D, MATCH($E483, Data!$B:$B, 0)), "")</f>
        <v/>
      </c>
      <c r="H483" s="9" t="str">
        <f t="array" ref="H483">IFERROR(INDEX(Data!E:E, MATCH($E483, Data!$B:$B, 0)), "")</f>
        <v/>
      </c>
      <c r="I483" s="9" t="str">
        <f t="shared" si="1"/>
        <v/>
      </c>
      <c r="J483" s="9" t="str">
        <f t="shared" si="2"/>
        <v>#REF!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12">
        <v>482.0</v>
      </c>
      <c r="B484" s="13">
        <v>482.0</v>
      </c>
      <c r="C484" s="9" t="str">
        <f t="array" ref="C484">IFERROR(INDEX(Data!F:F, MATCH($E484, Data!$B:$B, 0)), "")</f>
        <v/>
      </c>
      <c r="D484" s="9" t="str">
        <f t="array" ref="D484">IFERROR(INDEX(Data!A:A, MATCH($E484, Data!$B:$B, 0)), "")</f>
        <v/>
      </c>
      <c r="E484" s="9" t="str">
        <f>LARGE(Data!$B$2:$B1000,A484 )</f>
        <v>#NUM!</v>
      </c>
      <c r="F484" s="9" t="str">
        <f t="array" ref="F484">IFERROR(INDEX(Data!C:C, MATCH($E484, Data!$B:$B, 0)), "")</f>
        <v/>
      </c>
      <c r="G484" s="9" t="str">
        <f t="array" ref="G484">IFERROR(INDEX(Data!D:D, MATCH($E484, Data!$B:$B, 0)), "")</f>
        <v/>
      </c>
      <c r="H484" s="9" t="str">
        <f t="array" ref="H484">IFERROR(INDEX(Data!E:E, MATCH($E484, Data!$B:$B, 0)), "")</f>
        <v/>
      </c>
      <c r="I484" s="9" t="str">
        <f t="shared" si="1"/>
        <v/>
      </c>
      <c r="J484" s="9" t="str">
        <f t="shared" si="2"/>
        <v>#REF!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12">
        <v>483.0</v>
      </c>
      <c r="B485" s="13">
        <v>483.0</v>
      </c>
      <c r="C485" s="9" t="str">
        <f t="array" ref="C485">IFERROR(INDEX(Data!F:F, MATCH($E485, Data!$B:$B, 0)), "")</f>
        <v/>
      </c>
      <c r="D485" s="9" t="str">
        <f t="array" ref="D485">IFERROR(INDEX(Data!A:A, MATCH($E485, Data!$B:$B, 0)), "")</f>
        <v/>
      </c>
      <c r="E485" s="9" t="str">
        <f>LARGE(Data!$B$2:$B1000,A485 )</f>
        <v>#NUM!</v>
      </c>
      <c r="F485" s="9" t="str">
        <f t="array" ref="F485">IFERROR(INDEX(Data!C:C, MATCH($E485, Data!$B:$B, 0)), "")</f>
        <v/>
      </c>
      <c r="G485" s="9" t="str">
        <f t="array" ref="G485">IFERROR(INDEX(Data!D:D, MATCH($E485, Data!$B:$B, 0)), "")</f>
        <v/>
      </c>
      <c r="H485" s="9" t="str">
        <f t="array" ref="H485">IFERROR(INDEX(Data!E:E, MATCH($E485, Data!$B:$B, 0)), "")</f>
        <v/>
      </c>
      <c r="I485" s="9" t="str">
        <f t="shared" si="1"/>
        <v/>
      </c>
      <c r="J485" s="9" t="str">
        <f t="shared" si="2"/>
        <v>#REF!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12">
        <v>484.0</v>
      </c>
      <c r="B486" s="13">
        <v>484.0</v>
      </c>
      <c r="C486" s="9" t="str">
        <f t="array" ref="C486">IFERROR(INDEX(Data!F:F, MATCH($E486, Data!$B:$B, 0)), "")</f>
        <v/>
      </c>
      <c r="D486" s="9" t="str">
        <f t="array" ref="D486">IFERROR(INDEX(Data!A:A, MATCH($E486, Data!$B:$B, 0)), "")</f>
        <v/>
      </c>
      <c r="E486" s="9" t="str">
        <f>LARGE(Data!$B$2:$B1000,A486 )</f>
        <v>#NUM!</v>
      </c>
      <c r="F486" s="9" t="str">
        <f t="array" ref="F486">IFERROR(INDEX(Data!C:C, MATCH($E486, Data!$B:$B, 0)), "")</f>
        <v/>
      </c>
      <c r="G486" s="9" t="str">
        <f t="array" ref="G486">IFERROR(INDEX(Data!D:D, MATCH($E486, Data!$B:$B, 0)), "")</f>
        <v/>
      </c>
      <c r="H486" s="9" t="str">
        <f t="array" ref="H486">IFERROR(INDEX(Data!E:E, MATCH($E486, Data!$B:$B, 0)), "")</f>
        <v/>
      </c>
      <c r="I486" s="9" t="str">
        <f t="shared" si="1"/>
        <v/>
      </c>
      <c r="J486" s="9" t="str">
        <f t="shared" si="2"/>
        <v>#REF!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12">
        <v>485.0</v>
      </c>
      <c r="B487" s="13">
        <v>485.0</v>
      </c>
      <c r="C487" s="9" t="str">
        <f t="array" ref="C487">IFERROR(INDEX(Data!F:F, MATCH($E487, Data!$B:$B, 0)), "")</f>
        <v/>
      </c>
      <c r="D487" s="9" t="str">
        <f t="array" ref="D487">IFERROR(INDEX(Data!A:A, MATCH($E487, Data!$B:$B, 0)), "")</f>
        <v/>
      </c>
      <c r="E487" s="9" t="str">
        <f>LARGE(Data!$B$2:$B1000,A487 )</f>
        <v>#NUM!</v>
      </c>
      <c r="F487" s="9" t="str">
        <f t="array" ref="F487">IFERROR(INDEX(Data!C:C, MATCH($E487, Data!$B:$B, 0)), "")</f>
        <v/>
      </c>
      <c r="G487" s="9" t="str">
        <f t="array" ref="G487">IFERROR(INDEX(Data!D:D, MATCH($E487, Data!$B:$B, 0)), "")</f>
        <v/>
      </c>
      <c r="H487" s="9" t="str">
        <f t="array" ref="H487">IFERROR(INDEX(Data!E:E, MATCH($E487, Data!$B:$B, 0)), "")</f>
        <v/>
      </c>
      <c r="I487" s="9" t="str">
        <f t="shared" si="1"/>
        <v/>
      </c>
      <c r="J487" s="9" t="str">
        <f t="shared" si="2"/>
        <v>#REF!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12">
        <v>486.0</v>
      </c>
      <c r="B488" s="13">
        <v>486.0</v>
      </c>
      <c r="C488" s="9" t="str">
        <f t="array" ref="C488">IFERROR(INDEX(Data!F:F, MATCH($E488, Data!$B:$B, 0)), "")</f>
        <v/>
      </c>
      <c r="D488" s="9" t="str">
        <f t="array" ref="D488">IFERROR(INDEX(Data!A:A, MATCH($E488, Data!$B:$B, 0)), "")</f>
        <v/>
      </c>
      <c r="E488" s="9" t="str">
        <f>LARGE(Data!$B$2:$B1000,A488 )</f>
        <v>#NUM!</v>
      </c>
      <c r="F488" s="9" t="str">
        <f t="array" ref="F488">IFERROR(INDEX(Data!C:C, MATCH($E488, Data!$B:$B, 0)), "")</f>
        <v/>
      </c>
      <c r="G488" s="9" t="str">
        <f t="array" ref="G488">IFERROR(INDEX(Data!D:D, MATCH($E488, Data!$B:$B, 0)), "")</f>
        <v/>
      </c>
      <c r="H488" s="9" t="str">
        <f t="array" ref="H488">IFERROR(INDEX(Data!E:E, MATCH($E488, Data!$B:$B, 0)), "")</f>
        <v/>
      </c>
      <c r="I488" s="9" t="str">
        <f t="shared" si="1"/>
        <v/>
      </c>
      <c r="J488" s="9" t="str">
        <f t="shared" si="2"/>
        <v>#REF!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12">
        <v>487.0</v>
      </c>
      <c r="B489" s="13">
        <v>487.0</v>
      </c>
      <c r="C489" s="9" t="str">
        <f t="array" ref="C489">IFERROR(INDEX(Data!F:F, MATCH($E489, Data!$B:$B, 0)), "")</f>
        <v/>
      </c>
      <c r="D489" s="9" t="str">
        <f t="array" ref="D489">IFERROR(INDEX(Data!A:A, MATCH($E489, Data!$B:$B, 0)), "")</f>
        <v/>
      </c>
      <c r="E489" s="9" t="str">
        <f>LARGE(Data!$B$2:$B1000,A489 )</f>
        <v>#NUM!</v>
      </c>
      <c r="F489" s="9" t="str">
        <f t="array" ref="F489">IFERROR(INDEX(Data!C:C, MATCH($E489, Data!$B:$B, 0)), "")</f>
        <v/>
      </c>
      <c r="G489" s="9" t="str">
        <f t="array" ref="G489">IFERROR(INDEX(Data!D:D, MATCH($E489, Data!$B:$B, 0)), "")</f>
        <v/>
      </c>
      <c r="H489" s="9" t="str">
        <f t="array" ref="H489">IFERROR(INDEX(Data!E:E, MATCH($E489, Data!$B:$B, 0)), "")</f>
        <v/>
      </c>
      <c r="I489" s="9" t="str">
        <f t="shared" si="1"/>
        <v/>
      </c>
      <c r="J489" s="9" t="str">
        <f t="shared" si="2"/>
        <v>#REF!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12">
        <v>488.0</v>
      </c>
      <c r="B490" s="13">
        <v>488.0</v>
      </c>
      <c r="C490" s="9" t="str">
        <f t="array" ref="C490">IFERROR(INDEX(Data!F:F, MATCH($E490, Data!$B:$B, 0)), "")</f>
        <v/>
      </c>
      <c r="D490" s="9" t="str">
        <f t="array" ref="D490">IFERROR(INDEX(Data!A:A, MATCH($E490, Data!$B:$B, 0)), "")</f>
        <v/>
      </c>
      <c r="E490" s="9" t="str">
        <f>LARGE(Data!$B$2:$B1000,A490 )</f>
        <v>#NUM!</v>
      </c>
      <c r="F490" s="9" t="str">
        <f t="array" ref="F490">IFERROR(INDEX(Data!C:C, MATCH($E490, Data!$B:$B, 0)), "")</f>
        <v/>
      </c>
      <c r="G490" s="9" t="str">
        <f t="array" ref="G490">IFERROR(INDEX(Data!D:D, MATCH($E490, Data!$B:$B, 0)), "")</f>
        <v/>
      </c>
      <c r="H490" s="9" t="str">
        <f t="array" ref="H490">IFERROR(INDEX(Data!E:E, MATCH($E490, Data!$B:$B, 0)), "")</f>
        <v/>
      </c>
      <c r="I490" s="9" t="str">
        <f t="shared" si="1"/>
        <v/>
      </c>
      <c r="J490" s="9" t="str">
        <f t="shared" si="2"/>
        <v>#REF!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12">
        <v>489.0</v>
      </c>
      <c r="B491" s="13">
        <v>489.0</v>
      </c>
      <c r="C491" s="9" t="str">
        <f t="array" ref="C491">IFERROR(INDEX(Data!F:F, MATCH($E491, Data!$B:$B, 0)), "")</f>
        <v/>
      </c>
      <c r="D491" s="9" t="str">
        <f t="array" ref="D491">IFERROR(INDEX(Data!A:A, MATCH($E491, Data!$B:$B, 0)), "")</f>
        <v/>
      </c>
      <c r="E491" s="9" t="str">
        <f>LARGE(Data!$B$2:$B1000,A491 )</f>
        <v>#NUM!</v>
      </c>
      <c r="F491" s="9" t="str">
        <f t="array" ref="F491">IFERROR(INDEX(Data!C:C, MATCH($E491, Data!$B:$B, 0)), "")</f>
        <v/>
      </c>
      <c r="G491" s="9" t="str">
        <f t="array" ref="G491">IFERROR(INDEX(Data!D:D, MATCH($E491, Data!$B:$B, 0)), "")</f>
        <v/>
      </c>
      <c r="H491" s="9" t="str">
        <f t="array" ref="H491">IFERROR(INDEX(Data!E:E, MATCH($E491, Data!$B:$B, 0)), "")</f>
        <v/>
      </c>
      <c r="I491" s="9" t="str">
        <f t="shared" si="1"/>
        <v/>
      </c>
      <c r="J491" s="9" t="str">
        <f t="shared" si="2"/>
        <v>#REF!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12">
        <v>490.0</v>
      </c>
      <c r="B492" s="13">
        <v>490.0</v>
      </c>
      <c r="C492" s="9" t="str">
        <f t="array" ref="C492">IFERROR(INDEX(Data!F:F, MATCH($E492, Data!$B:$B, 0)), "")</f>
        <v/>
      </c>
      <c r="D492" s="9" t="str">
        <f t="array" ref="D492">IFERROR(INDEX(Data!A:A, MATCH($E492, Data!$B:$B, 0)), "")</f>
        <v/>
      </c>
      <c r="E492" s="9" t="str">
        <f>LARGE(Data!$B$2:$B1000,A492 )</f>
        <v>#NUM!</v>
      </c>
      <c r="F492" s="9" t="str">
        <f t="array" ref="F492">IFERROR(INDEX(Data!C:C, MATCH($E492, Data!$B:$B, 0)), "")</f>
        <v/>
      </c>
      <c r="G492" s="9" t="str">
        <f t="array" ref="G492">IFERROR(INDEX(Data!D:D, MATCH($E492, Data!$B:$B, 0)), "")</f>
        <v/>
      </c>
      <c r="H492" s="9" t="str">
        <f t="array" ref="H492">IFERROR(INDEX(Data!E:E, MATCH($E492, Data!$B:$B, 0)), "")</f>
        <v/>
      </c>
      <c r="I492" s="9" t="str">
        <f t="shared" si="1"/>
        <v/>
      </c>
      <c r="J492" s="9" t="str">
        <f t="shared" si="2"/>
        <v>#REF!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12">
        <v>491.0</v>
      </c>
      <c r="B493" s="13">
        <v>491.0</v>
      </c>
      <c r="C493" s="9" t="str">
        <f t="array" ref="C493">IFERROR(INDEX(Data!F:F, MATCH($E493, Data!$B:$B, 0)), "")</f>
        <v/>
      </c>
      <c r="D493" s="9" t="str">
        <f t="array" ref="D493">IFERROR(INDEX(Data!A:A, MATCH($E493, Data!$B:$B, 0)), "")</f>
        <v/>
      </c>
      <c r="E493" s="9" t="str">
        <f>LARGE(Data!$B$2:$B1000,A493 )</f>
        <v>#NUM!</v>
      </c>
      <c r="F493" s="9" t="str">
        <f t="array" ref="F493">IFERROR(INDEX(Data!C:C, MATCH($E493, Data!$B:$B, 0)), "")</f>
        <v/>
      </c>
      <c r="G493" s="9" t="str">
        <f t="array" ref="G493">IFERROR(INDEX(Data!D:D, MATCH($E493, Data!$B:$B, 0)), "")</f>
        <v/>
      </c>
      <c r="H493" s="9" t="str">
        <f t="array" ref="H493">IFERROR(INDEX(Data!E:E, MATCH($E493, Data!$B:$B, 0)), "")</f>
        <v/>
      </c>
      <c r="I493" s="9" t="str">
        <f t="shared" si="1"/>
        <v/>
      </c>
      <c r="J493" s="9" t="str">
        <f t="shared" si="2"/>
        <v>#REF!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12">
        <v>492.0</v>
      </c>
      <c r="B494" s="13">
        <v>492.0</v>
      </c>
      <c r="C494" s="9" t="str">
        <f t="array" ref="C494">IFERROR(INDEX(Data!F:F, MATCH($E494, Data!$B:$B, 0)), "")</f>
        <v/>
      </c>
      <c r="D494" s="9" t="str">
        <f t="array" ref="D494">IFERROR(INDEX(Data!A:A, MATCH($E494, Data!$B:$B, 0)), "")</f>
        <v/>
      </c>
      <c r="E494" s="9" t="str">
        <f>LARGE(Data!$B$2:$B1000,A494 )</f>
        <v>#NUM!</v>
      </c>
      <c r="F494" s="9" t="str">
        <f t="array" ref="F494">IFERROR(INDEX(Data!C:C, MATCH($E494, Data!$B:$B, 0)), "")</f>
        <v/>
      </c>
      <c r="G494" s="9" t="str">
        <f t="array" ref="G494">IFERROR(INDEX(Data!D:D, MATCH($E494, Data!$B:$B, 0)), "")</f>
        <v/>
      </c>
      <c r="H494" s="9" t="str">
        <f t="array" ref="H494">IFERROR(INDEX(Data!E:E, MATCH($E494, Data!$B:$B, 0)), "")</f>
        <v/>
      </c>
      <c r="I494" s="9" t="str">
        <f t="shared" si="1"/>
        <v/>
      </c>
      <c r="J494" s="9" t="str">
        <f t="shared" si="2"/>
        <v>#REF!</v>
      </c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12">
        <v>493.0</v>
      </c>
      <c r="B495" s="13">
        <v>493.0</v>
      </c>
      <c r="C495" s="9" t="str">
        <f t="array" ref="C495">IFERROR(INDEX(Data!F:F, MATCH($E495, Data!$B:$B, 0)), "")</f>
        <v/>
      </c>
      <c r="D495" s="9" t="str">
        <f t="array" ref="D495">IFERROR(INDEX(Data!A:A, MATCH($E495, Data!$B:$B, 0)), "")</f>
        <v/>
      </c>
      <c r="E495" s="9" t="str">
        <f>LARGE(Data!$B$2:$B1000,A495 )</f>
        <v>#NUM!</v>
      </c>
      <c r="F495" s="9" t="str">
        <f t="array" ref="F495">IFERROR(INDEX(Data!C:C, MATCH($E495, Data!$B:$B, 0)), "")</f>
        <v/>
      </c>
      <c r="G495" s="9" t="str">
        <f t="array" ref="G495">IFERROR(INDEX(Data!D:D, MATCH($E495, Data!$B:$B, 0)), "")</f>
        <v/>
      </c>
      <c r="H495" s="9" t="str">
        <f t="array" ref="H495">IFERROR(INDEX(Data!E:E, MATCH($E495, Data!$B:$B, 0)), "")</f>
        <v/>
      </c>
      <c r="I495" s="9" t="str">
        <f t="shared" si="1"/>
        <v/>
      </c>
      <c r="J495" s="9" t="str">
        <f t="shared" si="2"/>
        <v>#REF!</v>
      </c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12">
        <v>494.0</v>
      </c>
      <c r="B496" s="13">
        <v>494.0</v>
      </c>
      <c r="C496" s="9" t="str">
        <f t="array" ref="C496">IFERROR(INDEX(Data!F:F, MATCH($E496, Data!$B:$B, 0)), "")</f>
        <v/>
      </c>
      <c r="D496" s="9" t="str">
        <f t="array" ref="D496">IFERROR(INDEX(Data!A:A, MATCH($E496, Data!$B:$B, 0)), "")</f>
        <v/>
      </c>
      <c r="E496" s="9" t="str">
        <f>LARGE(Data!$B$2:$B1000,A496 )</f>
        <v>#NUM!</v>
      </c>
      <c r="F496" s="9" t="str">
        <f t="array" ref="F496">IFERROR(INDEX(Data!C:C, MATCH($E496, Data!$B:$B, 0)), "")</f>
        <v/>
      </c>
      <c r="G496" s="9" t="str">
        <f t="array" ref="G496">IFERROR(INDEX(Data!D:D, MATCH($E496, Data!$B:$B, 0)), "")</f>
        <v/>
      </c>
      <c r="H496" s="9" t="str">
        <f t="array" ref="H496">IFERROR(INDEX(Data!E:E, MATCH($E496, Data!$B:$B, 0)), "")</f>
        <v/>
      </c>
      <c r="I496" s="9" t="str">
        <f t="shared" si="1"/>
        <v/>
      </c>
      <c r="J496" s="9" t="str">
        <f t="shared" si="2"/>
        <v>#REF!</v>
      </c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12">
        <v>495.0</v>
      </c>
      <c r="B497" s="13">
        <v>495.0</v>
      </c>
      <c r="C497" s="9" t="str">
        <f t="array" ref="C497">IFERROR(INDEX(Data!F:F, MATCH($E497, Data!$B:$B, 0)), "")</f>
        <v/>
      </c>
      <c r="D497" s="9" t="str">
        <f t="array" ref="D497">IFERROR(INDEX(Data!A:A, MATCH($E497, Data!$B:$B, 0)), "")</f>
        <v/>
      </c>
      <c r="E497" s="9" t="str">
        <f>LARGE(Data!$B$2:$B1000,A497 )</f>
        <v>#NUM!</v>
      </c>
      <c r="F497" s="9" t="str">
        <f t="array" ref="F497">IFERROR(INDEX(Data!C:C, MATCH($E497, Data!$B:$B, 0)), "")</f>
        <v/>
      </c>
      <c r="G497" s="9" t="str">
        <f t="array" ref="G497">IFERROR(INDEX(Data!D:D, MATCH($E497, Data!$B:$B, 0)), "")</f>
        <v/>
      </c>
      <c r="H497" s="9" t="str">
        <f t="array" ref="H497">IFERROR(INDEX(Data!E:E, MATCH($E497, Data!$B:$B, 0)), "")</f>
        <v/>
      </c>
      <c r="I497" s="9" t="str">
        <f t="shared" si="1"/>
        <v/>
      </c>
      <c r="J497" s="9" t="str">
        <f t="shared" si="2"/>
        <v>#REF!</v>
      </c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12">
        <v>496.0</v>
      </c>
      <c r="B498" s="13">
        <v>496.0</v>
      </c>
      <c r="C498" s="9" t="str">
        <f t="array" ref="C498">IFERROR(INDEX(Data!F:F, MATCH($E498, Data!$B:$B, 0)), "")</f>
        <v/>
      </c>
      <c r="D498" s="9" t="str">
        <f t="array" ref="D498">IFERROR(INDEX(Data!A:A, MATCH($E498, Data!$B:$B, 0)), "")</f>
        <v/>
      </c>
      <c r="E498" s="9" t="str">
        <f>LARGE(Data!$B$2:$B1000,A498 )</f>
        <v>#NUM!</v>
      </c>
      <c r="F498" s="9" t="str">
        <f t="array" ref="F498">IFERROR(INDEX(Data!C:C, MATCH($E498, Data!$B:$B, 0)), "")</f>
        <v/>
      </c>
      <c r="G498" s="9" t="str">
        <f t="array" ref="G498">IFERROR(INDEX(Data!D:D, MATCH($E498, Data!$B:$B, 0)), "")</f>
        <v/>
      </c>
      <c r="H498" s="9" t="str">
        <f t="array" ref="H498">IFERROR(INDEX(Data!E:E, MATCH($E498, Data!$B:$B, 0)), "")</f>
        <v/>
      </c>
      <c r="I498" s="9" t="str">
        <f t="shared" si="1"/>
        <v/>
      </c>
      <c r="J498" s="9" t="str">
        <f t="shared" si="2"/>
        <v>#REF!</v>
      </c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12">
        <v>497.0</v>
      </c>
      <c r="B499" s="13">
        <v>497.0</v>
      </c>
      <c r="C499" s="9" t="str">
        <f t="array" ref="C499">IFERROR(INDEX(Data!F:F, MATCH($E499, Data!$B:$B, 0)), "")</f>
        <v/>
      </c>
      <c r="D499" s="9" t="str">
        <f t="array" ref="D499">IFERROR(INDEX(Data!A:A, MATCH($E499, Data!$B:$B, 0)), "")</f>
        <v/>
      </c>
      <c r="E499" s="9" t="str">
        <f>LARGE(Data!$B$2:$B1000,A499 )</f>
        <v>#NUM!</v>
      </c>
      <c r="F499" s="9" t="str">
        <f t="array" ref="F499">IFERROR(INDEX(Data!C:C, MATCH($E499, Data!$B:$B, 0)), "")</f>
        <v/>
      </c>
      <c r="G499" s="9" t="str">
        <f t="array" ref="G499">IFERROR(INDEX(Data!D:D, MATCH($E499, Data!$B:$B, 0)), "")</f>
        <v/>
      </c>
      <c r="H499" s="9" t="str">
        <f t="array" ref="H499">IFERROR(INDEX(Data!E:E, MATCH($E499, Data!$B:$B, 0)), "")</f>
        <v/>
      </c>
      <c r="I499" s="9" t="str">
        <f t="shared" si="1"/>
        <v/>
      </c>
      <c r="J499" s="9" t="str">
        <f t="shared" si="2"/>
        <v>#REF!</v>
      </c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12">
        <v>498.0</v>
      </c>
      <c r="B500" s="13">
        <v>498.0</v>
      </c>
      <c r="C500" s="9" t="str">
        <f t="array" ref="C500">IFERROR(INDEX(Data!F:F, MATCH($E500, Data!$B:$B, 0)), "")</f>
        <v/>
      </c>
      <c r="D500" s="9" t="str">
        <f t="array" ref="D500">IFERROR(INDEX(Data!A:A, MATCH($E500, Data!$B:$B, 0)), "")</f>
        <v/>
      </c>
      <c r="E500" s="9" t="str">
        <f>LARGE(Data!$B$2:$B1000,A500 )</f>
        <v>#NUM!</v>
      </c>
      <c r="F500" s="9" t="str">
        <f t="array" ref="F500">IFERROR(INDEX(Data!C:C, MATCH($E500, Data!$B:$B, 0)), "")</f>
        <v/>
      </c>
      <c r="G500" s="9" t="str">
        <f t="array" ref="G500">IFERROR(INDEX(Data!D:D, MATCH($E500, Data!$B:$B, 0)), "")</f>
        <v/>
      </c>
      <c r="H500" s="9" t="str">
        <f t="array" ref="H500">IFERROR(INDEX(Data!E:E, MATCH($E500, Data!$B:$B, 0)), "")</f>
        <v/>
      </c>
      <c r="I500" s="9" t="str">
        <f t="shared" si="1"/>
        <v/>
      </c>
      <c r="J500" s="9" t="str">
        <f t="shared" si="2"/>
        <v>#REF!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12">
        <v>499.0</v>
      </c>
      <c r="B501" s="13">
        <v>499.0</v>
      </c>
      <c r="C501" s="9" t="str">
        <f t="array" ref="C501">IFERROR(INDEX(Data!F:F, MATCH($E501, Data!$B:$B, 0)), "")</f>
        <v/>
      </c>
      <c r="D501" s="9" t="str">
        <f t="array" ref="D501">IFERROR(INDEX(Data!A:A, MATCH($E501, Data!$B:$B, 0)), "")</f>
        <v/>
      </c>
      <c r="E501" s="9" t="str">
        <f>LARGE(Data!$B$2:$B1000,A501 )</f>
        <v>#NUM!</v>
      </c>
      <c r="F501" s="9" t="str">
        <f t="array" ref="F501">IFERROR(INDEX(Data!C:C, MATCH($E501, Data!$B:$B, 0)), "")</f>
        <v/>
      </c>
      <c r="G501" s="9" t="str">
        <f t="array" ref="G501">IFERROR(INDEX(Data!D:D, MATCH($E501, Data!$B:$B, 0)), "")</f>
        <v/>
      </c>
      <c r="H501" s="9" t="str">
        <f t="array" ref="H501">IFERROR(INDEX(Data!E:E, MATCH($E501, Data!$B:$B, 0)), "")</f>
        <v/>
      </c>
      <c r="I501" s="9" t="str">
        <f t="shared" si="1"/>
        <v/>
      </c>
      <c r="J501" s="9" t="str">
        <f t="shared" si="2"/>
        <v>#REF!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12">
        <v>500.0</v>
      </c>
      <c r="B502" s="13">
        <v>500.0</v>
      </c>
      <c r="C502" s="9" t="str">
        <f t="array" ref="C502">IFERROR(INDEX(Data!F:F, MATCH($E502, Data!$B:$B, 0)), "")</f>
        <v/>
      </c>
      <c r="D502" s="9" t="str">
        <f t="array" ref="D502">IFERROR(INDEX(Data!A:A, MATCH($E502, Data!$B:$B, 0)), "")</f>
        <v/>
      </c>
      <c r="E502" s="9" t="str">
        <f>LARGE(Data!$B$2:$B1000,A502 )</f>
        <v>#NUM!</v>
      </c>
      <c r="F502" s="9" t="str">
        <f t="array" ref="F502">IFERROR(INDEX(Data!C:C, MATCH($E502, Data!$B:$B, 0)), "")</f>
        <v/>
      </c>
      <c r="G502" s="9" t="str">
        <f t="array" ref="G502">IFERROR(INDEX(Data!D:D, MATCH($E502, Data!$B:$B, 0)), "")</f>
        <v/>
      </c>
      <c r="H502" s="9" t="str">
        <f t="array" ref="H502">IFERROR(INDEX(Data!E:E, MATCH($E502, Data!$B:$B, 0)), "")</f>
        <v/>
      </c>
      <c r="I502" s="9" t="str">
        <f t="shared" si="1"/>
        <v/>
      </c>
      <c r="J502" s="9" t="str">
        <f t="shared" si="2"/>
        <v>#REF!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12">
        <v>501.0</v>
      </c>
      <c r="B503" s="13">
        <v>501.0</v>
      </c>
      <c r="C503" s="9" t="str">
        <f t="array" ref="C503">IFERROR(INDEX(Data!F:F, MATCH($E503, Data!$B:$B, 0)), "")</f>
        <v/>
      </c>
      <c r="D503" s="9" t="str">
        <f t="array" ref="D503">IFERROR(INDEX(Data!A:A, MATCH($E503, Data!$B:$B, 0)), "")</f>
        <v/>
      </c>
      <c r="E503" s="9" t="str">
        <f>LARGE(Data!$B$2:$B1000,A503 )</f>
        <v>#NUM!</v>
      </c>
      <c r="F503" s="9" t="str">
        <f t="array" ref="F503">IFERROR(INDEX(Data!C:C, MATCH($E503, Data!$B:$B, 0)), "")</f>
        <v/>
      </c>
      <c r="G503" s="9" t="str">
        <f t="array" ref="G503">IFERROR(INDEX(Data!D:D, MATCH($E503, Data!$B:$B, 0)), "")</f>
        <v/>
      </c>
      <c r="H503" s="9" t="str">
        <f t="array" ref="H503">IFERROR(INDEX(Data!E:E, MATCH($E503, Data!$B:$B, 0)), "")</f>
        <v/>
      </c>
      <c r="I503" s="9" t="str">
        <f t="shared" si="1"/>
        <v/>
      </c>
      <c r="J503" s="9" t="str">
        <f t="shared" si="2"/>
        <v>#REF!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12">
        <v>502.0</v>
      </c>
      <c r="B504" s="13">
        <v>502.0</v>
      </c>
      <c r="C504" s="9" t="str">
        <f t="array" ref="C504">IFERROR(INDEX(Data!F:F, MATCH($E504, Data!$B:$B, 0)), "")</f>
        <v/>
      </c>
      <c r="D504" s="9" t="str">
        <f t="array" ref="D504">IFERROR(INDEX(Data!A:A, MATCH($E504, Data!$B:$B, 0)), "")</f>
        <v/>
      </c>
      <c r="E504" s="9" t="str">
        <f>LARGE(Data!$B$2:$B1000,A504 )</f>
        <v>#NUM!</v>
      </c>
      <c r="F504" s="9" t="str">
        <f t="array" ref="F504">IFERROR(INDEX(Data!C:C, MATCH($E504, Data!$B:$B, 0)), "")</f>
        <v/>
      </c>
      <c r="G504" s="9" t="str">
        <f t="array" ref="G504">IFERROR(INDEX(Data!D:D, MATCH($E504, Data!$B:$B, 0)), "")</f>
        <v/>
      </c>
      <c r="H504" s="9" t="str">
        <f t="array" ref="H504">IFERROR(INDEX(Data!E:E, MATCH($E504, Data!$B:$B, 0)), "")</f>
        <v/>
      </c>
      <c r="I504" s="9" t="str">
        <f t="shared" si="1"/>
        <v/>
      </c>
      <c r="J504" s="9" t="str">
        <f t="shared" si="2"/>
        <v>#REF!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12">
        <v>503.0</v>
      </c>
      <c r="B505" s="13">
        <v>503.0</v>
      </c>
      <c r="C505" s="9" t="str">
        <f t="array" ref="C505">IFERROR(INDEX(Data!F:F, MATCH($E505, Data!$B:$B, 0)), "")</f>
        <v/>
      </c>
      <c r="D505" s="9" t="str">
        <f t="array" ref="D505">IFERROR(INDEX(Data!A:A, MATCH($E505, Data!$B:$B, 0)), "")</f>
        <v/>
      </c>
      <c r="E505" s="9" t="str">
        <f>LARGE(Data!$B$2:$B1000,A505 )</f>
        <v>#NUM!</v>
      </c>
      <c r="F505" s="9" t="str">
        <f t="array" ref="F505">IFERROR(INDEX(Data!C:C, MATCH($E505, Data!$B:$B, 0)), "")</f>
        <v/>
      </c>
      <c r="G505" s="9" t="str">
        <f t="array" ref="G505">IFERROR(INDEX(Data!D:D, MATCH($E505, Data!$B:$B, 0)), "")</f>
        <v/>
      </c>
      <c r="H505" s="9" t="str">
        <f t="array" ref="H505">IFERROR(INDEX(Data!E:E, MATCH($E505, Data!$B:$B, 0)), "")</f>
        <v/>
      </c>
      <c r="I505" s="9" t="str">
        <f t="shared" si="1"/>
        <v/>
      </c>
      <c r="J505" s="9" t="str">
        <f t="shared" si="2"/>
        <v>#REF!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12">
        <v>504.0</v>
      </c>
      <c r="B506" s="13">
        <v>504.0</v>
      </c>
      <c r="C506" s="9" t="str">
        <f t="array" ref="C506">IFERROR(INDEX(Data!F:F, MATCH($E506, Data!$B:$B, 0)), "")</f>
        <v/>
      </c>
      <c r="D506" s="9" t="str">
        <f t="array" ref="D506">IFERROR(INDEX(Data!A:A, MATCH($E506, Data!$B:$B, 0)), "")</f>
        <v/>
      </c>
      <c r="E506" s="9" t="str">
        <f>LARGE(Data!$B$2:$B1000,A506 )</f>
        <v>#NUM!</v>
      </c>
      <c r="F506" s="9" t="str">
        <f t="array" ref="F506">IFERROR(INDEX(Data!C:C, MATCH($E506, Data!$B:$B, 0)), "")</f>
        <v/>
      </c>
      <c r="G506" s="9" t="str">
        <f t="array" ref="G506">IFERROR(INDEX(Data!D:D, MATCH($E506, Data!$B:$B, 0)), "")</f>
        <v/>
      </c>
      <c r="H506" s="9" t="str">
        <f t="array" ref="H506">IFERROR(INDEX(Data!E:E, MATCH($E506, Data!$B:$B, 0)), "")</f>
        <v/>
      </c>
      <c r="I506" s="9" t="str">
        <f t="shared" si="1"/>
        <v/>
      </c>
      <c r="J506" s="9" t="str">
        <f t="shared" si="2"/>
        <v>#REF!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12">
        <v>505.0</v>
      </c>
      <c r="B507" s="13">
        <v>505.0</v>
      </c>
      <c r="C507" s="9" t="str">
        <f t="array" ref="C507">IFERROR(INDEX(Data!F:F, MATCH($E507, Data!$B:$B, 0)), "")</f>
        <v/>
      </c>
      <c r="D507" s="9" t="str">
        <f t="array" ref="D507">IFERROR(INDEX(Data!A:A, MATCH($E507, Data!$B:$B, 0)), "")</f>
        <v/>
      </c>
      <c r="E507" s="9" t="str">
        <f>LARGE(Data!$B$2:$B1000,A507 )</f>
        <v>#NUM!</v>
      </c>
      <c r="F507" s="9" t="str">
        <f t="array" ref="F507">IFERROR(INDEX(Data!C:C, MATCH($E507, Data!$B:$B, 0)), "")</f>
        <v/>
      </c>
      <c r="G507" s="9" t="str">
        <f t="array" ref="G507">IFERROR(INDEX(Data!D:D, MATCH($E507, Data!$B:$B, 0)), "")</f>
        <v/>
      </c>
      <c r="H507" s="9" t="str">
        <f t="array" ref="H507">IFERROR(INDEX(Data!E:E, MATCH($E507, Data!$B:$B, 0)), "")</f>
        <v/>
      </c>
      <c r="I507" s="9" t="str">
        <f t="shared" si="1"/>
        <v/>
      </c>
      <c r="J507" s="9" t="str">
        <f t="shared" si="2"/>
        <v>#REF!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12">
        <v>506.0</v>
      </c>
      <c r="B508" s="13">
        <v>506.0</v>
      </c>
      <c r="C508" s="9" t="str">
        <f t="array" ref="C508">IFERROR(INDEX(Data!F:F, MATCH($E508, Data!$B:$B, 0)), "")</f>
        <v/>
      </c>
      <c r="D508" s="9" t="str">
        <f t="array" ref="D508">IFERROR(INDEX(Data!A:A, MATCH($E508, Data!$B:$B, 0)), "")</f>
        <v/>
      </c>
      <c r="E508" s="9" t="str">
        <f>LARGE(Data!$B$2:$B1000,A508 )</f>
        <v>#NUM!</v>
      </c>
      <c r="F508" s="9" t="str">
        <f t="array" ref="F508">IFERROR(INDEX(Data!C:C, MATCH($E508, Data!$B:$B, 0)), "")</f>
        <v/>
      </c>
      <c r="G508" s="9" t="str">
        <f t="array" ref="G508">IFERROR(INDEX(Data!D:D, MATCH($E508, Data!$B:$B, 0)), "")</f>
        <v/>
      </c>
      <c r="H508" s="9" t="str">
        <f t="array" ref="H508">IFERROR(INDEX(Data!E:E, MATCH($E508, Data!$B:$B, 0)), "")</f>
        <v/>
      </c>
      <c r="I508" s="9" t="str">
        <f t="shared" si="1"/>
        <v/>
      </c>
      <c r="J508" s="9" t="str">
        <f t="shared" si="2"/>
        <v>#REF!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12">
        <v>507.0</v>
      </c>
      <c r="B509" s="13">
        <v>507.0</v>
      </c>
      <c r="C509" s="9" t="str">
        <f t="array" ref="C509">IFERROR(INDEX(Data!F:F, MATCH($E509, Data!$B:$B, 0)), "")</f>
        <v/>
      </c>
      <c r="D509" s="9" t="str">
        <f t="array" ref="D509">IFERROR(INDEX(Data!A:A, MATCH($E509, Data!$B:$B, 0)), "")</f>
        <v/>
      </c>
      <c r="E509" s="9" t="str">
        <f>LARGE(Data!$B$2:$B1000,A509 )</f>
        <v>#NUM!</v>
      </c>
      <c r="F509" s="9" t="str">
        <f t="array" ref="F509">IFERROR(INDEX(Data!C:C, MATCH($E509, Data!$B:$B, 0)), "")</f>
        <v/>
      </c>
      <c r="G509" s="9" t="str">
        <f t="array" ref="G509">IFERROR(INDEX(Data!D:D, MATCH($E509, Data!$B:$B, 0)), "")</f>
        <v/>
      </c>
      <c r="H509" s="9" t="str">
        <f t="array" ref="H509">IFERROR(INDEX(Data!E:E, MATCH($E509, Data!$B:$B, 0)), "")</f>
        <v/>
      </c>
      <c r="I509" s="9" t="str">
        <f t="shared" si="1"/>
        <v/>
      </c>
      <c r="J509" s="9" t="str">
        <f t="shared" si="2"/>
        <v>#REF!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12">
        <v>508.0</v>
      </c>
      <c r="B510" s="13">
        <v>508.0</v>
      </c>
      <c r="C510" s="9" t="str">
        <f t="array" ref="C510">IFERROR(INDEX(Data!F:F, MATCH($E510, Data!$B:$B, 0)), "")</f>
        <v/>
      </c>
      <c r="D510" s="9" t="str">
        <f t="array" ref="D510">IFERROR(INDEX(Data!A:A, MATCH($E510, Data!$B:$B, 0)), "")</f>
        <v/>
      </c>
      <c r="E510" s="9" t="str">
        <f>LARGE(Data!$B$2:$B1000,A510 )</f>
        <v>#NUM!</v>
      </c>
      <c r="F510" s="9" t="str">
        <f t="array" ref="F510">IFERROR(INDEX(Data!C:C, MATCH($E510, Data!$B:$B, 0)), "")</f>
        <v/>
      </c>
      <c r="G510" s="9" t="str">
        <f t="array" ref="G510">IFERROR(INDEX(Data!D:D, MATCH($E510, Data!$B:$B, 0)), "")</f>
        <v/>
      </c>
      <c r="H510" s="9" t="str">
        <f t="array" ref="H510">IFERROR(INDEX(Data!E:E, MATCH($E510, Data!$B:$B, 0)), "")</f>
        <v/>
      </c>
      <c r="I510" s="9" t="str">
        <f t="shared" si="1"/>
        <v/>
      </c>
      <c r="J510" s="9" t="str">
        <f t="shared" si="2"/>
        <v>#REF!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12">
        <v>509.0</v>
      </c>
      <c r="B511" s="13">
        <v>509.0</v>
      </c>
      <c r="C511" s="9" t="str">
        <f t="array" ref="C511">IFERROR(INDEX(Data!F:F, MATCH($E511, Data!$B:$B, 0)), "")</f>
        <v/>
      </c>
      <c r="D511" s="9" t="str">
        <f t="array" ref="D511">IFERROR(INDEX(Data!A:A, MATCH($E511, Data!$B:$B, 0)), "")</f>
        <v/>
      </c>
      <c r="E511" s="9" t="str">
        <f>LARGE(Data!$B$2:$B1000,A511 )</f>
        <v>#NUM!</v>
      </c>
      <c r="F511" s="9" t="str">
        <f t="array" ref="F511">IFERROR(INDEX(Data!C:C, MATCH($E511, Data!$B:$B, 0)), "")</f>
        <v/>
      </c>
      <c r="G511" s="9" t="str">
        <f t="array" ref="G511">IFERROR(INDEX(Data!D:D, MATCH($E511, Data!$B:$B, 0)), "")</f>
        <v/>
      </c>
      <c r="H511" s="9" t="str">
        <f t="array" ref="H511">IFERROR(INDEX(Data!E:E, MATCH($E511, Data!$B:$B, 0)), "")</f>
        <v/>
      </c>
      <c r="I511" s="9" t="str">
        <f t="shared" si="1"/>
        <v/>
      </c>
      <c r="J511" s="9" t="str">
        <f t="shared" si="2"/>
        <v>#REF!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12">
        <v>510.0</v>
      </c>
      <c r="B512" s="13">
        <v>510.0</v>
      </c>
      <c r="C512" s="9" t="str">
        <f t="array" ref="C512">IFERROR(INDEX(Data!F:F, MATCH($E512, Data!$B:$B, 0)), "")</f>
        <v/>
      </c>
      <c r="D512" s="9" t="str">
        <f t="array" ref="D512">IFERROR(INDEX(Data!A:A, MATCH($E512, Data!$B:$B, 0)), "")</f>
        <v/>
      </c>
      <c r="E512" s="9" t="str">
        <f>LARGE(Data!$B$2:$B1000,A512 )</f>
        <v>#NUM!</v>
      </c>
      <c r="F512" s="9" t="str">
        <f t="array" ref="F512">IFERROR(INDEX(Data!C:C, MATCH($E512, Data!$B:$B, 0)), "")</f>
        <v/>
      </c>
      <c r="G512" s="9" t="str">
        <f t="array" ref="G512">IFERROR(INDEX(Data!D:D, MATCH($E512, Data!$B:$B, 0)), "")</f>
        <v/>
      </c>
      <c r="H512" s="9" t="str">
        <f t="array" ref="H512">IFERROR(INDEX(Data!E:E, MATCH($E512, Data!$B:$B, 0)), "")</f>
        <v/>
      </c>
      <c r="I512" s="9" t="str">
        <f t="shared" si="1"/>
        <v/>
      </c>
      <c r="J512" s="9" t="str">
        <f t="shared" si="2"/>
        <v>#REF!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12">
        <v>511.0</v>
      </c>
      <c r="B513" s="13">
        <v>511.0</v>
      </c>
      <c r="C513" s="9" t="str">
        <f t="array" ref="C513">IFERROR(INDEX(Data!F:F, MATCH($E513, Data!$B:$B, 0)), "")</f>
        <v/>
      </c>
      <c r="D513" s="9" t="str">
        <f t="array" ref="D513">IFERROR(INDEX(Data!A:A, MATCH($E513, Data!$B:$B, 0)), "")</f>
        <v/>
      </c>
      <c r="E513" s="9" t="str">
        <f>LARGE(Data!$B$2:$B1000,A513 )</f>
        <v>#NUM!</v>
      </c>
      <c r="F513" s="9" t="str">
        <f t="array" ref="F513">IFERROR(INDEX(Data!C:C, MATCH($E513, Data!$B:$B, 0)), "")</f>
        <v/>
      </c>
      <c r="G513" s="9" t="str">
        <f t="array" ref="G513">IFERROR(INDEX(Data!D:D, MATCH($E513, Data!$B:$B, 0)), "")</f>
        <v/>
      </c>
      <c r="H513" s="9" t="str">
        <f t="array" ref="H513">IFERROR(INDEX(Data!E:E, MATCH($E513, Data!$B:$B, 0)), "")</f>
        <v/>
      </c>
      <c r="I513" s="9" t="str">
        <f t="shared" si="1"/>
        <v/>
      </c>
      <c r="J513" s="9" t="str">
        <f t="shared" si="2"/>
        <v>#REF!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12">
        <v>512.0</v>
      </c>
      <c r="B514" s="13">
        <v>512.0</v>
      </c>
      <c r="C514" s="9" t="str">
        <f t="array" ref="C514">IFERROR(INDEX(Data!F:F, MATCH($E514, Data!$B:$B, 0)), "")</f>
        <v/>
      </c>
      <c r="D514" s="9" t="str">
        <f t="array" ref="D514">IFERROR(INDEX(Data!A:A, MATCH($E514, Data!$B:$B, 0)), "")</f>
        <v/>
      </c>
      <c r="E514" s="9" t="str">
        <f>LARGE(Data!$B$2:$B1000,A514 )</f>
        <v>#NUM!</v>
      </c>
      <c r="F514" s="9" t="str">
        <f t="array" ref="F514">IFERROR(INDEX(Data!C:C, MATCH($E514, Data!$B:$B, 0)), "")</f>
        <v/>
      </c>
      <c r="G514" s="9" t="str">
        <f t="array" ref="G514">IFERROR(INDEX(Data!D:D, MATCH($E514, Data!$B:$B, 0)), "")</f>
        <v/>
      </c>
      <c r="H514" s="9" t="str">
        <f t="array" ref="H514">IFERROR(INDEX(Data!E:E, MATCH($E514, Data!$B:$B, 0)), "")</f>
        <v/>
      </c>
      <c r="I514" s="9" t="str">
        <f t="shared" si="1"/>
        <v/>
      </c>
      <c r="J514" s="9" t="str">
        <f t="shared" si="2"/>
        <v>#REF!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12">
        <v>513.0</v>
      </c>
      <c r="B515" s="13">
        <v>513.0</v>
      </c>
      <c r="C515" s="9" t="str">
        <f t="array" ref="C515">IFERROR(INDEX(Data!F:F, MATCH($E515, Data!$B:$B, 0)), "")</f>
        <v/>
      </c>
      <c r="D515" s="9" t="str">
        <f t="array" ref="D515">IFERROR(INDEX(Data!A:A, MATCH($E515, Data!$B:$B, 0)), "")</f>
        <v/>
      </c>
      <c r="E515" s="9" t="str">
        <f>LARGE(Data!$B$2:$B1000,A515 )</f>
        <v>#NUM!</v>
      </c>
      <c r="F515" s="9" t="str">
        <f t="array" ref="F515">IFERROR(INDEX(Data!C:C, MATCH($E515, Data!$B:$B, 0)), "")</f>
        <v/>
      </c>
      <c r="G515" s="9" t="str">
        <f t="array" ref="G515">IFERROR(INDEX(Data!D:D, MATCH($E515, Data!$B:$B, 0)), "")</f>
        <v/>
      </c>
      <c r="H515" s="9" t="str">
        <f t="array" ref="H515">IFERROR(INDEX(Data!E:E, MATCH($E515, Data!$B:$B, 0)), "")</f>
        <v/>
      </c>
      <c r="I515" s="9" t="str">
        <f t="shared" si="1"/>
        <v/>
      </c>
      <c r="J515" s="9" t="str">
        <f t="shared" si="2"/>
        <v>#REF!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12">
        <v>514.0</v>
      </c>
      <c r="B516" s="13">
        <v>514.0</v>
      </c>
      <c r="C516" s="9" t="str">
        <f t="array" ref="C516">IFERROR(INDEX(Data!F:F, MATCH($E516, Data!$B:$B, 0)), "")</f>
        <v/>
      </c>
      <c r="D516" s="9" t="str">
        <f t="array" ref="D516">IFERROR(INDEX(Data!A:A, MATCH($E516, Data!$B:$B, 0)), "")</f>
        <v/>
      </c>
      <c r="E516" s="9" t="str">
        <f>LARGE(Data!$B$2:$B1000,A516 )</f>
        <v>#NUM!</v>
      </c>
      <c r="F516" s="9" t="str">
        <f t="array" ref="F516">IFERROR(INDEX(Data!C:C, MATCH($E516, Data!$B:$B, 0)), "")</f>
        <v/>
      </c>
      <c r="G516" s="9" t="str">
        <f t="array" ref="G516">IFERROR(INDEX(Data!D:D, MATCH($E516, Data!$B:$B, 0)), "")</f>
        <v/>
      </c>
      <c r="H516" s="9" t="str">
        <f t="array" ref="H516">IFERROR(INDEX(Data!E:E, MATCH($E516, Data!$B:$B, 0)), "")</f>
        <v/>
      </c>
      <c r="I516" s="9" t="str">
        <f t="shared" si="1"/>
        <v/>
      </c>
      <c r="J516" s="9" t="str">
        <f t="shared" si="2"/>
        <v>#REF!</v>
      </c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12">
        <v>515.0</v>
      </c>
      <c r="B517" s="13">
        <v>515.0</v>
      </c>
      <c r="C517" s="9" t="str">
        <f t="array" ref="C517">IFERROR(INDEX(Data!F:F, MATCH($E517, Data!$B:$B, 0)), "")</f>
        <v/>
      </c>
      <c r="D517" s="9" t="str">
        <f t="array" ref="D517">IFERROR(INDEX(Data!A:A, MATCH($E517, Data!$B:$B, 0)), "")</f>
        <v/>
      </c>
      <c r="E517" s="9" t="str">
        <f>LARGE(Data!$B$2:$B1000,A517 )</f>
        <v>#NUM!</v>
      </c>
      <c r="F517" s="9" t="str">
        <f t="array" ref="F517">IFERROR(INDEX(Data!C:C, MATCH($E517, Data!$B:$B, 0)), "")</f>
        <v/>
      </c>
      <c r="G517" s="9" t="str">
        <f t="array" ref="G517">IFERROR(INDEX(Data!D:D, MATCH($E517, Data!$B:$B, 0)), "")</f>
        <v/>
      </c>
      <c r="H517" s="9" t="str">
        <f t="array" ref="H517">IFERROR(INDEX(Data!E:E, MATCH($E517, Data!$B:$B, 0)), "")</f>
        <v/>
      </c>
      <c r="I517" s="9" t="str">
        <f t="shared" si="1"/>
        <v/>
      </c>
      <c r="J517" s="9" t="str">
        <f t="shared" si="2"/>
        <v>#REF!</v>
      </c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12">
        <v>516.0</v>
      </c>
      <c r="B518" s="13">
        <v>516.0</v>
      </c>
      <c r="C518" s="9" t="str">
        <f t="array" ref="C518">IFERROR(INDEX(Data!F:F, MATCH($E518, Data!$B:$B, 0)), "")</f>
        <v/>
      </c>
      <c r="D518" s="9" t="str">
        <f t="array" ref="D518">IFERROR(INDEX(Data!A:A, MATCH($E518, Data!$B:$B, 0)), "")</f>
        <v/>
      </c>
      <c r="E518" s="9" t="str">
        <f>LARGE(Data!$B$2:$B1000,A518 )</f>
        <v>#NUM!</v>
      </c>
      <c r="F518" s="9" t="str">
        <f t="array" ref="F518">IFERROR(INDEX(Data!C:C, MATCH($E518, Data!$B:$B, 0)), "")</f>
        <v/>
      </c>
      <c r="G518" s="9" t="str">
        <f t="array" ref="G518">IFERROR(INDEX(Data!D:D, MATCH($E518, Data!$B:$B, 0)), "")</f>
        <v/>
      </c>
      <c r="H518" s="9" t="str">
        <f t="array" ref="H518">IFERROR(INDEX(Data!E:E, MATCH($E518, Data!$B:$B, 0)), "")</f>
        <v/>
      </c>
      <c r="I518" s="9" t="str">
        <f t="shared" si="1"/>
        <v/>
      </c>
      <c r="J518" s="9" t="str">
        <f t="shared" si="2"/>
        <v>#REF!</v>
      </c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12">
        <v>517.0</v>
      </c>
      <c r="B519" s="13">
        <v>517.0</v>
      </c>
      <c r="C519" s="9" t="str">
        <f t="array" ref="C519">IFERROR(INDEX(Data!F:F, MATCH($E519, Data!$B:$B, 0)), "")</f>
        <v/>
      </c>
      <c r="D519" s="9" t="str">
        <f t="array" ref="D519">IFERROR(INDEX(Data!A:A, MATCH($E519, Data!$B:$B, 0)), "")</f>
        <v/>
      </c>
      <c r="E519" s="9" t="str">
        <f>LARGE(Data!$B$2:$B1000,A519 )</f>
        <v>#NUM!</v>
      </c>
      <c r="F519" s="9" t="str">
        <f t="array" ref="F519">IFERROR(INDEX(Data!C:C, MATCH($E519, Data!$B:$B, 0)), "")</f>
        <v/>
      </c>
      <c r="G519" s="9" t="str">
        <f t="array" ref="G519">IFERROR(INDEX(Data!D:D, MATCH($E519, Data!$B:$B, 0)), "")</f>
        <v/>
      </c>
      <c r="H519" s="9" t="str">
        <f t="array" ref="H519">IFERROR(INDEX(Data!E:E, MATCH($E519, Data!$B:$B, 0)), "")</f>
        <v/>
      </c>
      <c r="I519" s="9" t="str">
        <f t="shared" si="1"/>
        <v/>
      </c>
      <c r="J519" s="9" t="str">
        <f t="shared" si="2"/>
        <v>#REF!</v>
      </c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12">
        <v>518.0</v>
      </c>
      <c r="B520" s="13">
        <v>518.0</v>
      </c>
      <c r="C520" s="9" t="str">
        <f t="array" ref="C520">IFERROR(INDEX(Data!F:F, MATCH($E520, Data!$B:$B, 0)), "")</f>
        <v/>
      </c>
      <c r="D520" s="9" t="str">
        <f t="array" ref="D520">IFERROR(INDEX(Data!A:A, MATCH($E520, Data!$B:$B, 0)), "")</f>
        <v/>
      </c>
      <c r="E520" s="9" t="str">
        <f>LARGE(Data!$B$2:$B1000,A520 )</f>
        <v>#NUM!</v>
      </c>
      <c r="F520" s="9" t="str">
        <f t="array" ref="F520">IFERROR(INDEX(Data!C:C, MATCH($E520, Data!$B:$B, 0)), "")</f>
        <v/>
      </c>
      <c r="G520" s="9" t="str">
        <f t="array" ref="G520">IFERROR(INDEX(Data!D:D, MATCH($E520, Data!$B:$B, 0)), "")</f>
        <v/>
      </c>
      <c r="H520" s="9" t="str">
        <f t="array" ref="H520">IFERROR(INDEX(Data!E:E, MATCH($E520, Data!$B:$B, 0)), "")</f>
        <v/>
      </c>
      <c r="I520" s="9" t="str">
        <f t="shared" si="1"/>
        <v/>
      </c>
      <c r="J520" s="9" t="str">
        <f t="shared" si="2"/>
        <v>#REF!</v>
      </c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12">
        <v>519.0</v>
      </c>
      <c r="B521" s="13">
        <v>519.0</v>
      </c>
      <c r="C521" s="9" t="str">
        <f t="array" ref="C521">IFERROR(INDEX(Data!F:F, MATCH($E521, Data!$B:$B, 0)), "")</f>
        <v/>
      </c>
      <c r="D521" s="9" t="str">
        <f t="array" ref="D521">IFERROR(INDEX(Data!A:A, MATCH($E521, Data!$B:$B, 0)), "")</f>
        <v/>
      </c>
      <c r="E521" s="9" t="str">
        <f>LARGE(Data!$B$2:$B1000,A521 )</f>
        <v>#NUM!</v>
      </c>
      <c r="F521" s="9" t="str">
        <f t="array" ref="F521">IFERROR(INDEX(Data!C:C, MATCH($E521, Data!$B:$B, 0)), "")</f>
        <v/>
      </c>
      <c r="G521" s="9" t="str">
        <f t="array" ref="G521">IFERROR(INDEX(Data!D:D, MATCH($E521, Data!$B:$B, 0)), "")</f>
        <v/>
      </c>
      <c r="H521" s="9" t="str">
        <f t="array" ref="H521">IFERROR(INDEX(Data!E:E, MATCH($E521, Data!$B:$B, 0)), "")</f>
        <v/>
      </c>
      <c r="I521" s="9" t="str">
        <f t="shared" si="1"/>
        <v/>
      </c>
      <c r="J521" s="9" t="str">
        <f t="shared" si="2"/>
        <v>#REF!</v>
      </c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12">
        <v>520.0</v>
      </c>
      <c r="B522" s="13">
        <v>520.0</v>
      </c>
      <c r="C522" s="9" t="str">
        <f t="array" ref="C522">IFERROR(INDEX(Data!F:F, MATCH($E522, Data!$B:$B, 0)), "")</f>
        <v/>
      </c>
      <c r="D522" s="9" t="str">
        <f t="array" ref="D522">IFERROR(INDEX(Data!A:A, MATCH($E522, Data!$B:$B, 0)), "")</f>
        <v/>
      </c>
      <c r="E522" s="9" t="str">
        <f>LARGE(Data!$B$2:$B1000,A522 )</f>
        <v>#NUM!</v>
      </c>
      <c r="F522" s="9" t="str">
        <f t="array" ref="F522">IFERROR(INDEX(Data!C:C, MATCH($E522, Data!$B:$B, 0)), "")</f>
        <v/>
      </c>
      <c r="G522" s="9" t="str">
        <f t="array" ref="G522">IFERROR(INDEX(Data!D:D, MATCH($E522, Data!$B:$B, 0)), "")</f>
        <v/>
      </c>
      <c r="H522" s="9" t="str">
        <f t="array" ref="H522">IFERROR(INDEX(Data!E:E, MATCH($E522, Data!$B:$B, 0)), "")</f>
        <v/>
      </c>
      <c r="I522" s="9" t="str">
        <f t="shared" si="1"/>
        <v/>
      </c>
      <c r="J522" s="9" t="str">
        <f t="shared" si="2"/>
        <v>#REF!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12">
        <v>521.0</v>
      </c>
      <c r="B523" s="13">
        <v>521.0</v>
      </c>
      <c r="C523" s="9" t="str">
        <f t="array" ref="C523">IFERROR(INDEX(Data!F:F, MATCH($E523, Data!$B:$B, 0)), "")</f>
        <v/>
      </c>
      <c r="D523" s="9" t="str">
        <f t="array" ref="D523">IFERROR(INDEX(Data!A:A, MATCH($E523, Data!$B:$B, 0)), "")</f>
        <v/>
      </c>
      <c r="E523" s="9" t="str">
        <f>LARGE(Data!$B$2:$B1000,A523 )</f>
        <v>#NUM!</v>
      </c>
      <c r="F523" s="9" t="str">
        <f t="array" ref="F523">IFERROR(INDEX(Data!C:C, MATCH($E523, Data!$B:$B, 0)), "")</f>
        <v/>
      </c>
      <c r="G523" s="9" t="str">
        <f t="array" ref="G523">IFERROR(INDEX(Data!D:D, MATCH($E523, Data!$B:$B, 0)), "")</f>
        <v/>
      </c>
      <c r="H523" s="9" t="str">
        <f t="array" ref="H523">IFERROR(INDEX(Data!E:E, MATCH($E523, Data!$B:$B, 0)), "")</f>
        <v/>
      </c>
      <c r="I523" s="9" t="str">
        <f t="shared" si="1"/>
        <v/>
      </c>
      <c r="J523" s="9" t="str">
        <f t="shared" si="2"/>
        <v>#REF!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12">
        <v>522.0</v>
      </c>
      <c r="B524" s="13">
        <v>522.0</v>
      </c>
      <c r="C524" s="9" t="str">
        <f t="array" ref="C524">IFERROR(INDEX(Data!F:F, MATCH($E524, Data!$B:$B, 0)), "")</f>
        <v/>
      </c>
      <c r="D524" s="9" t="str">
        <f t="array" ref="D524">IFERROR(INDEX(Data!A:A, MATCH($E524, Data!$B:$B, 0)), "")</f>
        <v/>
      </c>
      <c r="E524" s="9" t="str">
        <f>LARGE(Data!$B$2:$B1000,A524 )</f>
        <v>#NUM!</v>
      </c>
      <c r="F524" s="9" t="str">
        <f t="array" ref="F524">IFERROR(INDEX(Data!C:C, MATCH($E524, Data!$B:$B, 0)), "")</f>
        <v/>
      </c>
      <c r="G524" s="9" t="str">
        <f t="array" ref="G524">IFERROR(INDEX(Data!D:D, MATCH($E524, Data!$B:$B, 0)), "")</f>
        <v/>
      </c>
      <c r="H524" s="9" t="str">
        <f t="array" ref="H524">IFERROR(INDEX(Data!E:E, MATCH($E524, Data!$B:$B, 0)), "")</f>
        <v/>
      </c>
      <c r="I524" s="9" t="str">
        <f t="shared" si="1"/>
        <v/>
      </c>
      <c r="J524" s="9" t="str">
        <f t="shared" si="2"/>
        <v>#REF!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12">
        <v>523.0</v>
      </c>
      <c r="B525" s="13">
        <v>523.0</v>
      </c>
      <c r="C525" s="9" t="str">
        <f t="array" ref="C525">IFERROR(INDEX(Data!F:F, MATCH($E525, Data!$B:$B, 0)), "")</f>
        <v/>
      </c>
      <c r="D525" s="9" t="str">
        <f t="array" ref="D525">IFERROR(INDEX(Data!A:A, MATCH($E525, Data!$B:$B, 0)), "")</f>
        <v/>
      </c>
      <c r="E525" s="9" t="str">
        <f>LARGE(Data!$B$2:$B1000,A525 )</f>
        <v>#NUM!</v>
      </c>
      <c r="F525" s="9" t="str">
        <f t="array" ref="F525">IFERROR(INDEX(Data!C:C, MATCH($E525, Data!$B:$B, 0)), "")</f>
        <v/>
      </c>
      <c r="G525" s="9" t="str">
        <f t="array" ref="G525">IFERROR(INDEX(Data!D:D, MATCH($E525, Data!$B:$B, 0)), "")</f>
        <v/>
      </c>
      <c r="H525" s="9" t="str">
        <f t="array" ref="H525">IFERROR(INDEX(Data!E:E, MATCH($E525, Data!$B:$B, 0)), "")</f>
        <v/>
      </c>
      <c r="I525" s="9" t="str">
        <f t="shared" si="1"/>
        <v/>
      </c>
      <c r="J525" s="9" t="str">
        <f t="shared" si="2"/>
        <v>#REF!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12">
        <v>524.0</v>
      </c>
      <c r="B526" s="13">
        <v>524.0</v>
      </c>
      <c r="C526" s="9" t="str">
        <f t="array" ref="C526">IFERROR(INDEX(Data!F:F, MATCH($E526, Data!$B:$B, 0)), "")</f>
        <v/>
      </c>
      <c r="D526" s="9" t="str">
        <f t="array" ref="D526">IFERROR(INDEX(Data!A:A, MATCH($E526, Data!$B:$B, 0)), "")</f>
        <v/>
      </c>
      <c r="E526" s="9" t="str">
        <f>LARGE(Data!$B$2:$B1000,A526 )</f>
        <v>#NUM!</v>
      </c>
      <c r="F526" s="9" t="str">
        <f t="array" ref="F526">IFERROR(INDEX(Data!C:C, MATCH($E526, Data!$B:$B, 0)), "")</f>
        <v/>
      </c>
      <c r="G526" s="9" t="str">
        <f t="array" ref="G526">IFERROR(INDEX(Data!D:D, MATCH($E526, Data!$B:$B, 0)), "")</f>
        <v/>
      </c>
      <c r="H526" s="9" t="str">
        <f t="array" ref="H526">IFERROR(INDEX(Data!E:E, MATCH($E526, Data!$B:$B, 0)), "")</f>
        <v/>
      </c>
      <c r="I526" s="9" t="str">
        <f t="shared" si="1"/>
        <v/>
      </c>
      <c r="J526" s="9" t="str">
        <f t="shared" si="2"/>
        <v>#REF!</v>
      </c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12">
        <v>525.0</v>
      </c>
      <c r="B527" s="13">
        <v>525.0</v>
      </c>
      <c r="C527" s="9" t="str">
        <f t="array" ref="C527">IFERROR(INDEX(Data!F:F, MATCH($E527, Data!$B:$B, 0)), "")</f>
        <v/>
      </c>
      <c r="D527" s="9" t="str">
        <f t="array" ref="D527">IFERROR(INDEX(Data!A:A, MATCH($E527, Data!$B:$B, 0)), "")</f>
        <v/>
      </c>
      <c r="E527" s="9" t="str">
        <f>LARGE(Data!$B$2:$B1000,A527 )</f>
        <v>#NUM!</v>
      </c>
      <c r="F527" s="9" t="str">
        <f t="array" ref="F527">IFERROR(INDEX(Data!C:C, MATCH($E527, Data!$B:$B, 0)), "")</f>
        <v/>
      </c>
      <c r="G527" s="9" t="str">
        <f t="array" ref="G527">IFERROR(INDEX(Data!D:D, MATCH($E527, Data!$B:$B, 0)), "")</f>
        <v/>
      </c>
      <c r="H527" s="9" t="str">
        <f t="array" ref="H527">IFERROR(INDEX(Data!E:E, MATCH($E527, Data!$B:$B, 0)), "")</f>
        <v/>
      </c>
      <c r="I527" s="9" t="str">
        <f t="shared" si="1"/>
        <v/>
      </c>
      <c r="J527" s="9" t="str">
        <f t="shared" si="2"/>
        <v>#REF!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12">
        <v>526.0</v>
      </c>
      <c r="B528" s="13">
        <v>526.0</v>
      </c>
      <c r="C528" s="9" t="str">
        <f t="array" ref="C528">IFERROR(INDEX(Data!F:F, MATCH($E528, Data!$B:$B, 0)), "")</f>
        <v/>
      </c>
      <c r="D528" s="9" t="str">
        <f t="array" ref="D528">IFERROR(INDEX(Data!A:A, MATCH($E528, Data!$B:$B, 0)), "")</f>
        <v/>
      </c>
      <c r="E528" s="9" t="str">
        <f>LARGE(Data!$B$2:$B1000,A528 )</f>
        <v>#NUM!</v>
      </c>
      <c r="F528" s="9" t="str">
        <f t="array" ref="F528">IFERROR(INDEX(Data!C:C, MATCH($E528, Data!$B:$B, 0)), "")</f>
        <v/>
      </c>
      <c r="G528" s="9" t="str">
        <f t="array" ref="G528">IFERROR(INDEX(Data!D:D, MATCH($E528, Data!$B:$B, 0)), "")</f>
        <v/>
      </c>
      <c r="H528" s="9" t="str">
        <f t="array" ref="H528">IFERROR(INDEX(Data!E:E, MATCH($E528, Data!$B:$B, 0)), "")</f>
        <v/>
      </c>
      <c r="I528" s="9" t="str">
        <f t="shared" si="1"/>
        <v/>
      </c>
      <c r="J528" s="9" t="str">
        <f t="shared" si="2"/>
        <v>#REF!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12">
        <v>527.0</v>
      </c>
      <c r="B529" s="13">
        <v>527.0</v>
      </c>
      <c r="C529" s="9" t="str">
        <f t="array" ref="C529">IFERROR(INDEX(Data!F:F, MATCH($E529, Data!$B:$B, 0)), "")</f>
        <v/>
      </c>
      <c r="D529" s="9" t="str">
        <f t="array" ref="D529">IFERROR(INDEX(Data!A:A, MATCH($E529, Data!$B:$B, 0)), "")</f>
        <v/>
      </c>
      <c r="E529" s="9" t="str">
        <f>LARGE(Data!$B$2:$B1000,A529 )</f>
        <v>#NUM!</v>
      </c>
      <c r="F529" s="9" t="str">
        <f t="array" ref="F529">IFERROR(INDEX(Data!C:C, MATCH($E529, Data!$B:$B, 0)), "")</f>
        <v/>
      </c>
      <c r="G529" s="9" t="str">
        <f t="array" ref="G529">IFERROR(INDEX(Data!D:D, MATCH($E529, Data!$B:$B, 0)), "")</f>
        <v/>
      </c>
      <c r="H529" s="9" t="str">
        <f t="array" ref="H529">IFERROR(INDEX(Data!E:E, MATCH($E529, Data!$B:$B, 0)), "")</f>
        <v/>
      </c>
      <c r="I529" s="9" t="str">
        <f t="shared" si="1"/>
        <v/>
      </c>
      <c r="J529" s="9" t="str">
        <f t="shared" si="2"/>
        <v>#REF!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12">
        <v>528.0</v>
      </c>
      <c r="B530" s="13">
        <v>528.0</v>
      </c>
      <c r="C530" s="9" t="str">
        <f t="array" ref="C530">IFERROR(INDEX(Data!F:F, MATCH($E530, Data!$B:$B, 0)), "")</f>
        <v/>
      </c>
      <c r="D530" s="9" t="str">
        <f t="array" ref="D530">IFERROR(INDEX(Data!A:A, MATCH($E530, Data!$B:$B, 0)), "")</f>
        <v/>
      </c>
      <c r="E530" s="9" t="str">
        <f>LARGE(Data!$B$2:$B1000,A530 )</f>
        <v>#NUM!</v>
      </c>
      <c r="F530" s="9" t="str">
        <f t="array" ref="F530">IFERROR(INDEX(Data!C:C, MATCH($E530, Data!$B:$B, 0)), "")</f>
        <v/>
      </c>
      <c r="G530" s="9" t="str">
        <f t="array" ref="G530">IFERROR(INDEX(Data!D:D, MATCH($E530, Data!$B:$B, 0)), "")</f>
        <v/>
      </c>
      <c r="H530" s="9" t="str">
        <f t="array" ref="H530">IFERROR(INDEX(Data!E:E, MATCH($E530, Data!$B:$B, 0)), "")</f>
        <v/>
      </c>
      <c r="I530" s="9" t="str">
        <f t="shared" si="1"/>
        <v/>
      </c>
      <c r="J530" s="9" t="str">
        <f t="shared" si="2"/>
        <v>#REF!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12">
        <v>529.0</v>
      </c>
      <c r="B531" s="13">
        <v>529.0</v>
      </c>
      <c r="C531" s="9" t="str">
        <f t="array" ref="C531">IFERROR(INDEX(Data!F:F, MATCH($E531, Data!$B:$B, 0)), "")</f>
        <v/>
      </c>
      <c r="D531" s="9" t="str">
        <f t="array" ref="D531">IFERROR(INDEX(Data!A:A, MATCH($E531, Data!$B:$B, 0)), "")</f>
        <v/>
      </c>
      <c r="E531" s="9" t="str">
        <f>LARGE(Data!$B$2:$B1000,A531 )</f>
        <v>#NUM!</v>
      </c>
      <c r="F531" s="9" t="str">
        <f t="array" ref="F531">IFERROR(INDEX(Data!C:C, MATCH($E531, Data!$B:$B, 0)), "")</f>
        <v/>
      </c>
      <c r="G531" s="9" t="str">
        <f t="array" ref="G531">IFERROR(INDEX(Data!D:D, MATCH($E531, Data!$B:$B, 0)), "")</f>
        <v/>
      </c>
      <c r="H531" s="9" t="str">
        <f t="array" ref="H531">IFERROR(INDEX(Data!E:E, MATCH($E531, Data!$B:$B, 0)), "")</f>
        <v/>
      </c>
      <c r="I531" s="9" t="str">
        <f t="shared" si="1"/>
        <v/>
      </c>
      <c r="J531" s="9" t="str">
        <f t="shared" si="2"/>
        <v>#REF!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12">
        <v>530.0</v>
      </c>
      <c r="B532" s="13">
        <v>530.0</v>
      </c>
      <c r="C532" s="9" t="str">
        <f t="array" ref="C532">IFERROR(INDEX(Data!F:F, MATCH($E532, Data!$B:$B, 0)), "")</f>
        <v/>
      </c>
      <c r="D532" s="9" t="str">
        <f t="array" ref="D532">IFERROR(INDEX(Data!A:A, MATCH($E532, Data!$B:$B, 0)), "")</f>
        <v/>
      </c>
      <c r="E532" s="9" t="str">
        <f>LARGE(Data!$B$2:$B1000,A532 )</f>
        <v>#NUM!</v>
      </c>
      <c r="F532" s="9" t="str">
        <f t="array" ref="F532">IFERROR(INDEX(Data!C:C, MATCH($E532, Data!$B:$B, 0)), "")</f>
        <v/>
      </c>
      <c r="G532" s="9" t="str">
        <f t="array" ref="G532">IFERROR(INDEX(Data!D:D, MATCH($E532, Data!$B:$B, 0)), "")</f>
        <v/>
      </c>
      <c r="H532" s="9" t="str">
        <f t="array" ref="H532">IFERROR(INDEX(Data!E:E, MATCH($E532, Data!$B:$B, 0)), "")</f>
        <v/>
      </c>
      <c r="I532" s="9" t="str">
        <f t="shared" si="1"/>
        <v/>
      </c>
      <c r="J532" s="9" t="str">
        <f t="shared" si="2"/>
        <v>#REF!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12">
        <v>531.0</v>
      </c>
      <c r="B533" s="13">
        <v>531.0</v>
      </c>
      <c r="C533" s="9" t="str">
        <f t="array" ref="C533">IFERROR(INDEX(Data!F:F, MATCH($E533, Data!$B:$B, 0)), "")</f>
        <v/>
      </c>
      <c r="D533" s="9" t="str">
        <f t="array" ref="D533">IFERROR(INDEX(Data!A:A, MATCH($E533, Data!$B:$B, 0)), "")</f>
        <v/>
      </c>
      <c r="E533" s="9" t="str">
        <f>LARGE(Data!$B$2:$B1000,A533 )</f>
        <v>#NUM!</v>
      </c>
      <c r="F533" s="9" t="str">
        <f t="array" ref="F533">IFERROR(INDEX(Data!C:C, MATCH($E533, Data!$B:$B, 0)), "")</f>
        <v/>
      </c>
      <c r="G533" s="9" t="str">
        <f t="array" ref="G533">IFERROR(INDEX(Data!D:D, MATCH($E533, Data!$B:$B, 0)), "")</f>
        <v/>
      </c>
      <c r="H533" s="9" t="str">
        <f t="array" ref="H533">IFERROR(INDEX(Data!E:E, MATCH($E533, Data!$B:$B, 0)), "")</f>
        <v/>
      </c>
      <c r="I533" s="9" t="str">
        <f t="shared" si="1"/>
        <v/>
      </c>
      <c r="J533" s="9" t="str">
        <f t="shared" si="2"/>
        <v>#REF!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12">
        <v>532.0</v>
      </c>
      <c r="B534" s="13">
        <v>532.0</v>
      </c>
      <c r="C534" s="9" t="str">
        <f t="array" ref="C534">IFERROR(INDEX(Data!F:F, MATCH($E534, Data!$B:$B, 0)), "")</f>
        <v/>
      </c>
      <c r="D534" s="9" t="str">
        <f t="array" ref="D534">IFERROR(INDEX(Data!A:A, MATCH($E534, Data!$B:$B, 0)), "")</f>
        <v/>
      </c>
      <c r="E534" s="9" t="str">
        <f>LARGE(Data!$B$2:$B1000,A534 )</f>
        <v>#NUM!</v>
      </c>
      <c r="F534" s="9" t="str">
        <f t="array" ref="F534">IFERROR(INDEX(Data!C:C, MATCH($E534, Data!$B:$B, 0)), "")</f>
        <v/>
      </c>
      <c r="G534" s="9" t="str">
        <f t="array" ref="G534">IFERROR(INDEX(Data!D:D, MATCH($E534, Data!$B:$B, 0)), "")</f>
        <v/>
      </c>
      <c r="H534" s="9" t="str">
        <f t="array" ref="H534">IFERROR(INDEX(Data!E:E, MATCH($E534, Data!$B:$B, 0)), "")</f>
        <v/>
      </c>
      <c r="I534" s="9" t="str">
        <f t="shared" si="1"/>
        <v/>
      </c>
      <c r="J534" s="9" t="str">
        <f t="shared" si="2"/>
        <v>#REF!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12">
        <v>533.0</v>
      </c>
      <c r="B535" s="13">
        <v>533.0</v>
      </c>
      <c r="C535" s="9" t="str">
        <f t="array" ref="C535">IFERROR(INDEX(Data!F:F, MATCH($E535, Data!$B:$B, 0)), "")</f>
        <v/>
      </c>
      <c r="D535" s="9" t="str">
        <f t="array" ref="D535">IFERROR(INDEX(Data!A:A, MATCH($E535, Data!$B:$B, 0)), "")</f>
        <v/>
      </c>
      <c r="E535" s="9" t="str">
        <f>LARGE(Data!$B$2:$B1000,A535 )</f>
        <v>#NUM!</v>
      </c>
      <c r="F535" s="9" t="str">
        <f t="array" ref="F535">IFERROR(INDEX(Data!C:C, MATCH($E535, Data!$B:$B, 0)), "")</f>
        <v/>
      </c>
      <c r="G535" s="9" t="str">
        <f t="array" ref="G535">IFERROR(INDEX(Data!D:D, MATCH($E535, Data!$B:$B, 0)), "")</f>
        <v/>
      </c>
      <c r="H535" s="9" t="str">
        <f t="array" ref="H535">IFERROR(INDEX(Data!E:E, MATCH($E535, Data!$B:$B, 0)), "")</f>
        <v/>
      </c>
      <c r="I535" s="9" t="str">
        <f t="shared" si="1"/>
        <v/>
      </c>
      <c r="J535" s="9" t="str">
        <f t="shared" si="2"/>
        <v>#REF!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12">
        <v>534.0</v>
      </c>
      <c r="B536" s="13">
        <v>534.0</v>
      </c>
      <c r="C536" s="9" t="str">
        <f t="array" ref="C536">IFERROR(INDEX(Data!F:F, MATCH($E536, Data!$B:$B, 0)), "")</f>
        <v/>
      </c>
      <c r="D536" s="9" t="str">
        <f t="array" ref="D536">IFERROR(INDEX(Data!A:A, MATCH($E536, Data!$B:$B, 0)), "")</f>
        <v/>
      </c>
      <c r="E536" s="9" t="str">
        <f>LARGE(Data!$B$2:$B1000,A536 )</f>
        <v>#NUM!</v>
      </c>
      <c r="F536" s="9" t="str">
        <f t="array" ref="F536">IFERROR(INDEX(Data!C:C, MATCH($E536, Data!$B:$B, 0)), "")</f>
        <v/>
      </c>
      <c r="G536" s="9" t="str">
        <f t="array" ref="G536">IFERROR(INDEX(Data!D:D, MATCH($E536, Data!$B:$B, 0)), "")</f>
        <v/>
      </c>
      <c r="H536" s="9" t="str">
        <f t="array" ref="H536">IFERROR(INDEX(Data!E:E, MATCH($E536, Data!$B:$B, 0)), "")</f>
        <v/>
      </c>
      <c r="I536" s="9" t="str">
        <f t="shared" si="1"/>
        <v/>
      </c>
      <c r="J536" s="9" t="str">
        <f t="shared" si="2"/>
        <v>#REF!</v>
      </c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12">
        <v>535.0</v>
      </c>
      <c r="B537" s="13">
        <v>535.0</v>
      </c>
      <c r="C537" s="9" t="str">
        <f t="array" ref="C537">IFERROR(INDEX(Data!F:F, MATCH($E537, Data!$B:$B, 0)), "")</f>
        <v/>
      </c>
      <c r="D537" s="9" t="str">
        <f t="array" ref="D537">IFERROR(INDEX(Data!A:A, MATCH($E537, Data!$B:$B, 0)), "")</f>
        <v/>
      </c>
      <c r="E537" s="9" t="str">
        <f>LARGE(Data!$B$2:$B1000,A537 )</f>
        <v>#NUM!</v>
      </c>
      <c r="F537" s="9" t="str">
        <f t="array" ref="F537">IFERROR(INDEX(Data!C:C, MATCH($E537, Data!$B:$B, 0)), "")</f>
        <v/>
      </c>
      <c r="G537" s="9" t="str">
        <f t="array" ref="G537">IFERROR(INDEX(Data!D:D, MATCH($E537, Data!$B:$B, 0)), "")</f>
        <v/>
      </c>
      <c r="H537" s="9" t="str">
        <f t="array" ref="H537">IFERROR(INDEX(Data!E:E, MATCH($E537, Data!$B:$B, 0)), "")</f>
        <v/>
      </c>
      <c r="I537" s="9" t="str">
        <f t="shared" si="1"/>
        <v/>
      </c>
      <c r="J537" s="9" t="str">
        <f t="shared" si="2"/>
        <v>#REF!</v>
      </c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12">
        <v>536.0</v>
      </c>
      <c r="B538" s="13">
        <v>536.0</v>
      </c>
      <c r="C538" s="9" t="str">
        <f t="array" ref="C538">IFERROR(INDEX(Data!F:F, MATCH($E538, Data!$B:$B, 0)), "")</f>
        <v/>
      </c>
      <c r="D538" s="9" t="str">
        <f t="array" ref="D538">IFERROR(INDEX(Data!A:A, MATCH($E538, Data!$B:$B, 0)), "")</f>
        <v/>
      </c>
      <c r="E538" s="9" t="str">
        <f>LARGE(Data!$B$2:$B1000,A538 )</f>
        <v>#NUM!</v>
      </c>
      <c r="F538" s="9" t="str">
        <f t="array" ref="F538">IFERROR(INDEX(Data!C:C, MATCH($E538, Data!$B:$B, 0)), "")</f>
        <v/>
      </c>
      <c r="G538" s="9" t="str">
        <f t="array" ref="G538">IFERROR(INDEX(Data!D:D, MATCH($E538, Data!$B:$B, 0)), "")</f>
        <v/>
      </c>
      <c r="H538" s="9" t="str">
        <f t="array" ref="H538">IFERROR(INDEX(Data!E:E, MATCH($E538, Data!$B:$B, 0)), "")</f>
        <v/>
      </c>
      <c r="I538" s="9" t="str">
        <f t="shared" si="1"/>
        <v/>
      </c>
      <c r="J538" s="9" t="str">
        <f t="shared" si="2"/>
        <v>#REF!</v>
      </c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12">
        <v>537.0</v>
      </c>
      <c r="B539" s="13">
        <v>537.0</v>
      </c>
      <c r="C539" s="9" t="str">
        <f t="array" ref="C539">IFERROR(INDEX(Data!F:F, MATCH($E539, Data!$B:$B, 0)), "")</f>
        <v/>
      </c>
      <c r="D539" s="9" t="str">
        <f t="array" ref="D539">IFERROR(INDEX(Data!A:A, MATCH($E539, Data!$B:$B, 0)), "")</f>
        <v/>
      </c>
      <c r="E539" s="9" t="str">
        <f>LARGE(Data!$B$2:$B1000,A539 )</f>
        <v>#NUM!</v>
      </c>
      <c r="F539" s="9" t="str">
        <f t="array" ref="F539">IFERROR(INDEX(Data!C:C, MATCH($E539, Data!$B:$B, 0)), "")</f>
        <v/>
      </c>
      <c r="G539" s="9" t="str">
        <f t="array" ref="G539">IFERROR(INDEX(Data!D:D, MATCH($E539, Data!$B:$B, 0)), "")</f>
        <v/>
      </c>
      <c r="H539" s="9" t="str">
        <f t="array" ref="H539">IFERROR(INDEX(Data!E:E, MATCH($E539, Data!$B:$B, 0)), "")</f>
        <v/>
      </c>
      <c r="I539" s="9" t="str">
        <f t="shared" si="1"/>
        <v/>
      </c>
      <c r="J539" s="9" t="str">
        <f t="shared" si="2"/>
        <v>#REF!</v>
      </c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12">
        <v>538.0</v>
      </c>
      <c r="B540" s="13">
        <v>538.0</v>
      </c>
      <c r="C540" s="9" t="str">
        <f t="array" ref="C540">IFERROR(INDEX(Data!F:F, MATCH($E540, Data!$B:$B, 0)), "")</f>
        <v/>
      </c>
      <c r="D540" s="9" t="str">
        <f t="array" ref="D540">IFERROR(INDEX(Data!A:A, MATCH($E540, Data!$B:$B, 0)), "")</f>
        <v/>
      </c>
      <c r="E540" s="9" t="str">
        <f>LARGE(Data!$B$2:$B1000,A540 )</f>
        <v>#NUM!</v>
      </c>
      <c r="F540" s="9" t="str">
        <f t="array" ref="F540">IFERROR(INDEX(Data!C:C, MATCH($E540, Data!$B:$B, 0)), "")</f>
        <v/>
      </c>
      <c r="G540" s="9" t="str">
        <f t="array" ref="G540">IFERROR(INDEX(Data!D:D, MATCH($E540, Data!$B:$B, 0)), "")</f>
        <v/>
      </c>
      <c r="H540" s="9" t="str">
        <f t="array" ref="H540">IFERROR(INDEX(Data!E:E, MATCH($E540, Data!$B:$B, 0)), "")</f>
        <v/>
      </c>
      <c r="I540" s="9" t="str">
        <f t="shared" si="1"/>
        <v/>
      </c>
      <c r="J540" s="9" t="str">
        <f t="shared" si="2"/>
        <v>#REF!</v>
      </c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12">
        <v>539.0</v>
      </c>
      <c r="B541" s="13">
        <v>539.0</v>
      </c>
      <c r="C541" s="9" t="str">
        <f t="array" ref="C541">IFERROR(INDEX(Data!F:F, MATCH($E541, Data!$B:$B, 0)), "")</f>
        <v/>
      </c>
      <c r="D541" s="9" t="str">
        <f t="array" ref="D541">IFERROR(INDEX(Data!A:A, MATCH($E541, Data!$B:$B, 0)), "")</f>
        <v/>
      </c>
      <c r="E541" s="9" t="str">
        <f>LARGE(Data!$B$2:$B1000,A541 )</f>
        <v>#NUM!</v>
      </c>
      <c r="F541" s="9" t="str">
        <f t="array" ref="F541">IFERROR(INDEX(Data!C:C, MATCH($E541, Data!$B:$B, 0)), "")</f>
        <v/>
      </c>
      <c r="G541" s="9" t="str">
        <f t="array" ref="G541">IFERROR(INDEX(Data!D:D, MATCH($E541, Data!$B:$B, 0)), "")</f>
        <v/>
      </c>
      <c r="H541" s="9" t="str">
        <f t="array" ref="H541">IFERROR(INDEX(Data!E:E, MATCH($E541, Data!$B:$B, 0)), "")</f>
        <v/>
      </c>
      <c r="I541" s="9" t="str">
        <f t="shared" si="1"/>
        <v/>
      </c>
      <c r="J541" s="9" t="str">
        <f t="shared" si="2"/>
        <v>#REF!</v>
      </c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12">
        <v>540.0</v>
      </c>
      <c r="B542" s="13">
        <v>540.0</v>
      </c>
      <c r="C542" s="9" t="str">
        <f t="array" ref="C542">IFERROR(INDEX(Data!F:F, MATCH($E542, Data!$B:$B, 0)), "")</f>
        <v/>
      </c>
      <c r="D542" s="9" t="str">
        <f t="array" ref="D542">IFERROR(INDEX(Data!A:A, MATCH($E542, Data!$B:$B, 0)), "")</f>
        <v/>
      </c>
      <c r="E542" s="9" t="str">
        <f>LARGE(Data!$B$2:$B1000,A542 )</f>
        <v>#NUM!</v>
      </c>
      <c r="F542" s="9" t="str">
        <f t="array" ref="F542">IFERROR(INDEX(Data!C:C, MATCH($E542, Data!$B:$B, 0)), "")</f>
        <v/>
      </c>
      <c r="G542" s="9" t="str">
        <f t="array" ref="G542">IFERROR(INDEX(Data!D:D, MATCH($E542, Data!$B:$B, 0)), "")</f>
        <v/>
      </c>
      <c r="H542" s="9" t="str">
        <f t="array" ref="H542">IFERROR(INDEX(Data!E:E, MATCH($E542, Data!$B:$B, 0)), "")</f>
        <v/>
      </c>
      <c r="I542" s="9" t="str">
        <f t="shared" si="1"/>
        <v/>
      </c>
      <c r="J542" s="9" t="str">
        <f t="shared" si="2"/>
        <v>#REF!</v>
      </c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12">
        <v>541.0</v>
      </c>
      <c r="B543" s="13">
        <v>541.0</v>
      </c>
      <c r="C543" s="9" t="str">
        <f t="array" ref="C543">IFERROR(INDEX(Data!F:F, MATCH($E543, Data!$B:$B, 0)), "")</f>
        <v/>
      </c>
      <c r="D543" s="9" t="str">
        <f t="array" ref="D543">IFERROR(INDEX(Data!A:A, MATCH($E543, Data!$B:$B, 0)), "")</f>
        <v/>
      </c>
      <c r="E543" s="9" t="str">
        <f>LARGE(Data!$B$2:$B1000,A543 )</f>
        <v>#NUM!</v>
      </c>
      <c r="F543" s="9" t="str">
        <f t="array" ref="F543">IFERROR(INDEX(Data!C:C, MATCH($E543, Data!$B:$B, 0)), "")</f>
        <v/>
      </c>
      <c r="G543" s="9" t="str">
        <f t="array" ref="G543">IFERROR(INDEX(Data!D:D, MATCH($E543, Data!$B:$B, 0)), "")</f>
        <v/>
      </c>
      <c r="H543" s="9" t="str">
        <f t="array" ref="H543">IFERROR(INDEX(Data!E:E, MATCH($E543, Data!$B:$B, 0)), "")</f>
        <v/>
      </c>
      <c r="I543" s="9" t="str">
        <f t="shared" si="1"/>
        <v/>
      </c>
      <c r="J543" s="9" t="str">
        <f t="shared" si="2"/>
        <v>#REF!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12">
        <v>542.0</v>
      </c>
      <c r="B544" s="13">
        <v>542.0</v>
      </c>
      <c r="C544" s="9" t="str">
        <f t="array" ref="C544">IFERROR(INDEX(Data!F:F, MATCH($E544, Data!$B:$B, 0)), "")</f>
        <v/>
      </c>
      <c r="D544" s="9" t="str">
        <f t="array" ref="D544">IFERROR(INDEX(Data!A:A, MATCH($E544, Data!$B:$B, 0)), "")</f>
        <v/>
      </c>
      <c r="E544" s="9" t="str">
        <f>LARGE(Data!$B$2:$B1000,A544 )</f>
        <v>#NUM!</v>
      </c>
      <c r="F544" s="9" t="str">
        <f t="array" ref="F544">IFERROR(INDEX(Data!C:C, MATCH($E544, Data!$B:$B, 0)), "")</f>
        <v/>
      </c>
      <c r="G544" s="9" t="str">
        <f t="array" ref="G544">IFERROR(INDEX(Data!D:D, MATCH($E544, Data!$B:$B, 0)), "")</f>
        <v/>
      </c>
      <c r="H544" s="9" t="str">
        <f t="array" ref="H544">IFERROR(INDEX(Data!E:E, MATCH($E544, Data!$B:$B, 0)), "")</f>
        <v/>
      </c>
      <c r="I544" s="9" t="str">
        <f t="shared" si="1"/>
        <v/>
      </c>
      <c r="J544" s="9" t="str">
        <f t="shared" si="2"/>
        <v>#REF!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12">
        <v>543.0</v>
      </c>
      <c r="B545" s="13">
        <v>543.0</v>
      </c>
      <c r="C545" s="9" t="str">
        <f t="array" ref="C545">IFERROR(INDEX(Data!F:F, MATCH($E545, Data!$B:$B, 0)), "")</f>
        <v/>
      </c>
      <c r="D545" s="9" t="str">
        <f t="array" ref="D545">IFERROR(INDEX(Data!A:A, MATCH($E545, Data!$B:$B, 0)), "")</f>
        <v/>
      </c>
      <c r="E545" s="9" t="str">
        <f>LARGE(Data!$B$2:$B1000,A545 )</f>
        <v>#NUM!</v>
      </c>
      <c r="F545" s="9" t="str">
        <f t="array" ref="F545">IFERROR(INDEX(Data!C:C, MATCH($E545, Data!$B:$B, 0)), "")</f>
        <v/>
      </c>
      <c r="G545" s="9" t="str">
        <f t="array" ref="G545">IFERROR(INDEX(Data!D:D, MATCH($E545, Data!$B:$B, 0)), "")</f>
        <v/>
      </c>
      <c r="H545" s="9" t="str">
        <f t="array" ref="H545">IFERROR(INDEX(Data!E:E, MATCH($E545, Data!$B:$B, 0)), "")</f>
        <v/>
      </c>
      <c r="I545" s="9" t="str">
        <f t="shared" si="1"/>
        <v/>
      </c>
      <c r="J545" s="9" t="str">
        <f t="shared" si="2"/>
        <v>#REF!</v>
      </c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12">
        <v>544.0</v>
      </c>
      <c r="B546" s="13">
        <v>544.0</v>
      </c>
      <c r="C546" s="9" t="str">
        <f t="array" ref="C546">IFERROR(INDEX(Data!F:F, MATCH($E546, Data!$B:$B, 0)), "")</f>
        <v/>
      </c>
      <c r="D546" s="9" t="str">
        <f t="array" ref="D546">IFERROR(INDEX(Data!A:A, MATCH($E546, Data!$B:$B, 0)), "")</f>
        <v/>
      </c>
      <c r="E546" s="9" t="str">
        <f>LARGE(Data!$B$2:$B1000,A546 )</f>
        <v>#NUM!</v>
      </c>
      <c r="F546" s="9" t="str">
        <f t="array" ref="F546">IFERROR(INDEX(Data!C:C, MATCH($E546, Data!$B:$B, 0)), "")</f>
        <v/>
      </c>
      <c r="G546" s="9" t="str">
        <f t="array" ref="G546">IFERROR(INDEX(Data!D:D, MATCH($E546, Data!$B:$B, 0)), "")</f>
        <v/>
      </c>
      <c r="H546" s="9" t="str">
        <f t="array" ref="H546">IFERROR(INDEX(Data!E:E, MATCH($E546, Data!$B:$B, 0)), "")</f>
        <v/>
      </c>
      <c r="I546" s="9" t="str">
        <f t="shared" si="1"/>
        <v/>
      </c>
      <c r="J546" s="9" t="str">
        <f t="shared" si="2"/>
        <v>#REF!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12">
        <v>545.0</v>
      </c>
      <c r="B547" s="13">
        <v>545.0</v>
      </c>
      <c r="C547" s="9" t="str">
        <f t="array" ref="C547">IFERROR(INDEX(Data!F:F, MATCH($E547, Data!$B:$B, 0)), "")</f>
        <v/>
      </c>
      <c r="D547" s="9" t="str">
        <f t="array" ref="D547">IFERROR(INDEX(Data!A:A, MATCH($E547, Data!$B:$B, 0)), "")</f>
        <v/>
      </c>
      <c r="E547" s="9" t="str">
        <f>LARGE(Data!$B$2:$B1000,A547 )</f>
        <v>#NUM!</v>
      </c>
      <c r="F547" s="9" t="str">
        <f t="array" ref="F547">IFERROR(INDEX(Data!C:C, MATCH($E547, Data!$B:$B, 0)), "")</f>
        <v/>
      </c>
      <c r="G547" s="9" t="str">
        <f t="array" ref="G547">IFERROR(INDEX(Data!D:D, MATCH($E547, Data!$B:$B, 0)), "")</f>
        <v/>
      </c>
      <c r="H547" s="9" t="str">
        <f t="array" ref="H547">IFERROR(INDEX(Data!E:E, MATCH($E547, Data!$B:$B, 0)), "")</f>
        <v/>
      </c>
      <c r="I547" s="9" t="str">
        <f t="shared" si="1"/>
        <v/>
      </c>
      <c r="J547" s="9" t="str">
        <f t="shared" si="2"/>
        <v>#REF!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12">
        <v>546.0</v>
      </c>
      <c r="B548" s="13">
        <v>546.0</v>
      </c>
      <c r="C548" s="9" t="str">
        <f t="array" ref="C548">IFERROR(INDEX(Data!F:F, MATCH($E548, Data!$B:$B, 0)), "")</f>
        <v/>
      </c>
      <c r="D548" s="9" t="str">
        <f t="array" ref="D548">IFERROR(INDEX(Data!A:A, MATCH($E548, Data!$B:$B, 0)), "")</f>
        <v/>
      </c>
      <c r="E548" s="9" t="str">
        <f>LARGE(Data!$B$2:$B1000,A548 )</f>
        <v>#NUM!</v>
      </c>
      <c r="F548" s="9" t="str">
        <f t="array" ref="F548">IFERROR(INDEX(Data!C:C, MATCH($E548, Data!$B:$B, 0)), "")</f>
        <v/>
      </c>
      <c r="G548" s="9" t="str">
        <f t="array" ref="G548">IFERROR(INDEX(Data!D:D, MATCH($E548, Data!$B:$B, 0)), "")</f>
        <v/>
      </c>
      <c r="H548" s="9" t="str">
        <f t="array" ref="H548">IFERROR(INDEX(Data!E:E, MATCH($E548, Data!$B:$B, 0)), "")</f>
        <v/>
      </c>
      <c r="I548" s="9" t="str">
        <f t="shared" si="1"/>
        <v/>
      </c>
      <c r="J548" s="9" t="str">
        <f t="shared" si="2"/>
        <v>#REF!</v>
      </c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12">
        <v>547.0</v>
      </c>
      <c r="B549" s="13">
        <v>547.0</v>
      </c>
      <c r="C549" s="9" t="str">
        <f t="array" ref="C549">IFERROR(INDEX(Data!F:F, MATCH($E549, Data!$B:$B, 0)), "")</f>
        <v/>
      </c>
      <c r="D549" s="9" t="str">
        <f t="array" ref="D549">IFERROR(INDEX(Data!A:A, MATCH($E549, Data!$B:$B, 0)), "")</f>
        <v/>
      </c>
      <c r="E549" s="9" t="str">
        <f>LARGE(Data!$B$2:$B1000,A549 )</f>
        <v>#NUM!</v>
      </c>
      <c r="F549" s="9" t="str">
        <f t="array" ref="F549">IFERROR(INDEX(Data!C:C, MATCH($E549, Data!$B:$B, 0)), "")</f>
        <v/>
      </c>
      <c r="G549" s="9" t="str">
        <f t="array" ref="G549">IFERROR(INDEX(Data!D:D, MATCH($E549, Data!$B:$B, 0)), "")</f>
        <v/>
      </c>
      <c r="H549" s="9" t="str">
        <f t="array" ref="H549">IFERROR(INDEX(Data!E:E, MATCH($E549, Data!$B:$B, 0)), "")</f>
        <v/>
      </c>
      <c r="I549" s="9" t="str">
        <f t="shared" si="1"/>
        <v/>
      </c>
      <c r="J549" s="9" t="str">
        <f t="shared" si="2"/>
        <v>#REF!</v>
      </c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12">
        <v>548.0</v>
      </c>
      <c r="B550" s="13">
        <v>548.0</v>
      </c>
      <c r="C550" s="9" t="str">
        <f t="array" ref="C550">IFERROR(INDEX(Data!F:F, MATCH($E550, Data!$B:$B, 0)), "")</f>
        <v/>
      </c>
      <c r="D550" s="9" t="str">
        <f t="array" ref="D550">IFERROR(INDEX(Data!A:A, MATCH($E550, Data!$B:$B, 0)), "")</f>
        <v/>
      </c>
      <c r="E550" s="9" t="str">
        <f>LARGE(Data!$B$2:$B1000,A550 )</f>
        <v>#NUM!</v>
      </c>
      <c r="F550" s="9" t="str">
        <f t="array" ref="F550">IFERROR(INDEX(Data!C:C, MATCH($E550, Data!$B:$B, 0)), "")</f>
        <v/>
      </c>
      <c r="G550" s="9" t="str">
        <f t="array" ref="G550">IFERROR(INDEX(Data!D:D, MATCH($E550, Data!$B:$B, 0)), "")</f>
        <v/>
      </c>
      <c r="H550" s="9" t="str">
        <f t="array" ref="H550">IFERROR(INDEX(Data!E:E, MATCH($E550, Data!$B:$B, 0)), "")</f>
        <v/>
      </c>
      <c r="I550" s="9" t="str">
        <f t="shared" si="1"/>
        <v/>
      </c>
      <c r="J550" s="9" t="str">
        <f t="shared" si="2"/>
        <v>#REF!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12">
        <v>549.0</v>
      </c>
      <c r="B551" s="13">
        <v>549.0</v>
      </c>
      <c r="C551" s="9" t="str">
        <f t="array" ref="C551">IFERROR(INDEX(Data!F:F, MATCH($E551, Data!$B:$B, 0)), "")</f>
        <v/>
      </c>
      <c r="D551" s="9" t="str">
        <f t="array" ref="D551">IFERROR(INDEX(Data!A:A, MATCH($E551, Data!$B:$B, 0)), "")</f>
        <v/>
      </c>
      <c r="E551" s="9" t="str">
        <f>LARGE(Data!$B$2:$B1000,A551 )</f>
        <v>#NUM!</v>
      </c>
      <c r="F551" s="9" t="str">
        <f t="array" ref="F551">IFERROR(INDEX(Data!C:C, MATCH($E551, Data!$B:$B, 0)), "")</f>
        <v/>
      </c>
      <c r="G551" s="9" t="str">
        <f t="array" ref="G551">IFERROR(INDEX(Data!D:D, MATCH($E551, Data!$B:$B, 0)), "")</f>
        <v/>
      </c>
      <c r="H551" s="9" t="str">
        <f t="array" ref="H551">IFERROR(INDEX(Data!E:E, MATCH($E551, Data!$B:$B, 0)), "")</f>
        <v/>
      </c>
      <c r="I551" s="9" t="str">
        <f t="shared" si="1"/>
        <v/>
      </c>
      <c r="J551" s="9" t="str">
        <f t="shared" si="2"/>
        <v>#REF!</v>
      </c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12">
        <v>550.0</v>
      </c>
      <c r="B552" s="13">
        <v>550.0</v>
      </c>
      <c r="C552" s="9" t="str">
        <f t="array" ref="C552">IFERROR(INDEX(Data!F:F, MATCH($E552, Data!$B:$B, 0)), "")</f>
        <v/>
      </c>
      <c r="D552" s="9" t="str">
        <f t="array" ref="D552">IFERROR(INDEX(Data!A:A, MATCH($E552, Data!$B:$B, 0)), "")</f>
        <v/>
      </c>
      <c r="E552" s="9" t="str">
        <f>LARGE(Data!$B$2:$B1000,A552 )</f>
        <v>#NUM!</v>
      </c>
      <c r="F552" s="9" t="str">
        <f t="array" ref="F552">IFERROR(INDEX(Data!C:C, MATCH($E552, Data!$B:$B, 0)), "")</f>
        <v/>
      </c>
      <c r="G552" s="9" t="str">
        <f t="array" ref="G552">IFERROR(INDEX(Data!D:D, MATCH($E552, Data!$B:$B, 0)), "")</f>
        <v/>
      </c>
      <c r="H552" s="9" t="str">
        <f t="array" ref="H552">IFERROR(INDEX(Data!E:E, MATCH($E552, Data!$B:$B, 0)), "")</f>
        <v/>
      </c>
      <c r="I552" s="9" t="str">
        <f t="shared" si="1"/>
        <v/>
      </c>
      <c r="J552" s="9" t="str">
        <f t="shared" si="2"/>
        <v>#REF!</v>
      </c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12">
        <v>551.0</v>
      </c>
      <c r="B553" s="13">
        <v>551.0</v>
      </c>
      <c r="C553" s="9" t="str">
        <f t="array" ref="C553">IFERROR(INDEX(Data!F:F, MATCH($E553, Data!$B:$B, 0)), "")</f>
        <v/>
      </c>
      <c r="D553" s="9" t="str">
        <f t="array" ref="D553">IFERROR(INDEX(Data!A:A, MATCH($E553, Data!$B:$B, 0)), "")</f>
        <v/>
      </c>
      <c r="E553" s="9" t="str">
        <f>LARGE(Data!$B$2:$B1000,A553 )</f>
        <v>#NUM!</v>
      </c>
      <c r="F553" s="9" t="str">
        <f t="array" ref="F553">IFERROR(INDEX(Data!C:C, MATCH($E553, Data!$B:$B, 0)), "")</f>
        <v/>
      </c>
      <c r="G553" s="9" t="str">
        <f t="array" ref="G553">IFERROR(INDEX(Data!D:D, MATCH($E553, Data!$B:$B, 0)), "")</f>
        <v/>
      </c>
      <c r="H553" s="9" t="str">
        <f t="array" ref="H553">IFERROR(INDEX(Data!E:E, MATCH($E553, Data!$B:$B, 0)), "")</f>
        <v/>
      </c>
      <c r="I553" s="9" t="str">
        <f t="shared" si="1"/>
        <v/>
      </c>
      <c r="J553" s="9" t="str">
        <f t="shared" si="2"/>
        <v>#REF!</v>
      </c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12">
        <v>552.0</v>
      </c>
      <c r="B554" s="13">
        <v>552.0</v>
      </c>
      <c r="C554" s="9" t="str">
        <f t="array" ref="C554">IFERROR(INDEX(Data!F:F, MATCH($E554, Data!$B:$B, 0)), "")</f>
        <v/>
      </c>
      <c r="D554" s="9" t="str">
        <f t="array" ref="D554">IFERROR(INDEX(Data!A:A, MATCH($E554, Data!$B:$B, 0)), "")</f>
        <v/>
      </c>
      <c r="E554" s="9" t="str">
        <f>LARGE(Data!$B$2:$B1000,A554 )</f>
        <v>#NUM!</v>
      </c>
      <c r="F554" s="9" t="str">
        <f t="array" ref="F554">IFERROR(INDEX(Data!C:C, MATCH($E554, Data!$B:$B, 0)), "")</f>
        <v/>
      </c>
      <c r="G554" s="9" t="str">
        <f t="array" ref="G554">IFERROR(INDEX(Data!D:D, MATCH($E554, Data!$B:$B, 0)), "")</f>
        <v/>
      </c>
      <c r="H554" s="9" t="str">
        <f t="array" ref="H554">IFERROR(INDEX(Data!E:E, MATCH($E554, Data!$B:$B, 0)), "")</f>
        <v/>
      </c>
      <c r="I554" s="9" t="str">
        <f t="shared" si="1"/>
        <v/>
      </c>
      <c r="J554" s="9" t="str">
        <f t="shared" si="2"/>
        <v>#REF!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12">
        <v>553.0</v>
      </c>
      <c r="B555" s="13">
        <v>553.0</v>
      </c>
      <c r="C555" s="9" t="str">
        <f t="array" ref="C555">IFERROR(INDEX(Data!F:F, MATCH($E555, Data!$B:$B, 0)), "")</f>
        <v/>
      </c>
      <c r="D555" s="9" t="str">
        <f t="array" ref="D555">IFERROR(INDEX(Data!A:A, MATCH($E555, Data!$B:$B, 0)), "")</f>
        <v/>
      </c>
      <c r="E555" s="9" t="str">
        <f>LARGE(Data!$B$2:$B1000,A555 )</f>
        <v>#NUM!</v>
      </c>
      <c r="F555" s="9" t="str">
        <f t="array" ref="F555">IFERROR(INDEX(Data!C:C, MATCH($E555, Data!$B:$B, 0)), "")</f>
        <v/>
      </c>
      <c r="G555" s="9" t="str">
        <f t="array" ref="G555">IFERROR(INDEX(Data!D:D, MATCH($E555, Data!$B:$B, 0)), "")</f>
        <v/>
      </c>
      <c r="H555" s="9" t="str">
        <f t="array" ref="H555">IFERROR(INDEX(Data!E:E, MATCH($E555, Data!$B:$B, 0)), "")</f>
        <v/>
      </c>
      <c r="I555" s="9" t="str">
        <f t="shared" si="1"/>
        <v/>
      </c>
      <c r="J555" s="9" t="str">
        <f t="shared" si="2"/>
        <v>#REF!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12">
        <v>554.0</v>
      </c>
      <c r="B556" s="13">
        <v>554.0</v>
      </c>
      <c r="C556" s="9" t="str">
        <f t="array" ref="C556">IFERROR(INDEX(Data!F:F, MATCH($E556, Data!$B:$B, 0)), "")</f>
        <v/>
      </c>
      <c r="D556" s="9" t="str">
        <f t="array" ref="D556">IFERROR(INDEX(Data!A:A, MATCH($E556, Data!$B:$B, 0)), "")</f>
        <v/>
      </c>
      <c r="E556" s="9" t="str">
        <f>LARGE(Data!$B$2:$B1000,A556 )</f>
        <v>#NUM!</v>
      </c>
      <c r="F556" s="9" t="str">
        <f t="array" ref="F556">IFERROR(INDEX(Data!C:C, MATCH($E556, Data!$B:$B, 0)), "")</f>
        <v/>
      </c>
      <c r="G556" s="9" t="str">
        <f t="array" ref="G556">IFERROR(INDEX(Data!D:D, MATCH($E556, Data!$B:$B, 0)), "")</f>
        <v/>
      </c>
      <c r="H556" s="9" t="str">
        <f t="array" ref="H556">IFERROR(INDEX(Data!E:E, MATCH($E556, Data!$B:$B, 0)), "")</f>
        <v/>
      </c>
      <c r="I556" s="9" t="str">
        <f t="shared" si="1"/>
        <v/>
      </c>
      <c r="J556" s="9" t="str">
        <f t="shared" si="2"/>
        <v>#REF!</v>
      </c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12">
        <v>555.0</v>
      </c>
      <c r="B557" s="13">
        <v>555.0</v>
      </c>
      <c r="C557" s="9" t="str">
        <f t="array" ref="C557">IFERROR(INDEX(Data!F:F, MATCH($E557, Data!$B:$B, 0)), "")</f>
        <v/>
      </c>
      <c r="D557" s="9" t="str">
        <f t="array" ref="D557">IFERROR(INDEX(Data!A:A, MATCH($E557, Data!$B:$B, 0)), "")</f>
        <v/>
      </c>
      <c r="E557" s="9" t="str">
        <f>LARGE(Data!$B$2:$B1000,A557 )</f>
        <v>#NUM!</v>
      </c>
      <c r="F557" s="9" t="str">
        <f t="array" ref="F557">IFERROR(INDEX(Data!C:C, MATCH($E557, Data!$B:$B, 0)), "")</f>
        <v/>
      </c>
      <c r="G557" s="9" t="str">
        <f t="array" ref="G557">IFERROR(INDEX(Data!D:D, MATCH($E557, Data!$B:$B, 0)), "")</f>
        <v/>
      </c>
      <c r="H557" s="9" t="str">
        <f t="array" ref="H557">IFERROR(INDEX(Data!E:E, MATCH($E557, Data!$B:$B, 0)), "")</f>
        <v/>
      </c>
      <c r="I557" s="9" t="str">
        <f t="shared" si="1"/>
        <v/>
      </c>
      <c r="J557" s="9" t="str">
        <f t="shared" si="2"/>
        <v>#REF!</v>
      </c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12">
        <v>556.0</v>
      </c>
      <c r="B558" s="13"/>
      <c r="C558" s="9" t="str">
        <f t="array" ref="C558">IFERROR(INDEX(Data!F:F, MATCH($E558, Data!$B:$B, 0)), "")</f>
        <v/>
      </c>
      <c r="D558" s="9" t="str">
        <f t="array" ref="D558">IFERROR(INDEX(Data!A:A, MATCH($E558, Data!$B:$B, 0)), "")</f>
        <v/>
      </c>
      <c r="E558" s="9" t="str">
        <f>LARGE(Data!$B$2:$B1000,A558 )</f>
        <v>#NUM!</v>
      </c>
      <c r="F558" s="9" t="str">
        <f t="array" ref="F558">IFERROR(INDEX(Data!C:C, MATCH($E558, Data!$B:$B, 0)), "")</f>
        <v/>
      </c>
      <c r="G558" s="9" t="str">
        <f t="array" ref="G558">IFERROR(INDEX(Data!D:D, MATCH($E558, Data!$B:$B, 0)), "")</f>
        <v/>
      </c>
      <c r="H558" s="9" t="str">
        <f t="array" ref="H558">IFERROR(INDEX(Data!E:E, MATCH($E558, Data!$B:$B, 0)), "")</f>
        <v/>
      </c>
      <c r="I558" s="9" t="str">
        <f t="shared" si="1"/>
        <v/>
      </c>
      <c r="J558" s="9" t="str">
        <f t="shared" si="2"/>
        <v>#REF!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12">
        <v>557.0</v>
      </c>
      <c r="B559" s="13"/>
      <c r="C559" s="9" t="str">
        <f t="array" ref="C559">IFERROR(INDEX(Data!F:F, MATCH($E559, Data!$B:$B, 0)), "")</f>
        <v/>
      </c>
      <c r="D559" s="9" t="str">
        <f t="array" ref="D559">IFERROR(INDEX(Data!A:A, MATCH($E559, Data!$B:$B, 0)), "")</f>
        <v/>
      </c>
      <c r="E559" s="9" t="str">
        <f>LARGE(Data!$B$2:$B1000,A559 )</f>
        <v>#NUM!</v>
      </c>
      <c r="F559" s="9" t="str">
        <f t="array" ref="F559">IFERROR(INDEX(Data!C:C, MATCH($E559, Data!$B:$B, 0)), "")</f>
        <v/>
      </c>
      <c r="G559" s="9" t="str">
        <f t="array" ref="G559">IFERROR(INDEX(Data!D:D, MATCH($E559, Data!$B:$B, 0)), "")</f>
        <v/>
      </c>
      <c r="H559" s="9" t="str">
        <f t="array" ref="H559">IFERROR(INDEX(Data!E:E, MATCH($E559, Data!$B:$B, 0)), "")</f>
        <v/>
      </c>
      <c r="I559" s="9" t="str">
        <f t="shared" si="1"/>
        <v/>
      </c>
      <c r="J559" s="9" t="str">
        <f t="shared" si="2"/>
        <v>#REF!</v>
      </c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12">
        <v>558.0</v>
      </c>
      <c r="B560" s="13"/>
      <c r="C560" s="9" t="str">
        <f t="array" ref="C560">IFERROR(INDEX(Data!F:F, MATCH($E560, Data!$B:$B, 0)), "")</f>
        <v/>
      </c>
      <c r="D560" s="9" t="str">
        <f t="array" ref="D560">IFERROR(INDEX(Data!A:A, MATCH($E560, Data!$B:$B, 0)), "")</f>
        <v/>
      </c>
      <c r="E560" s="9" t="str">
        <f>LARGE(Data!$B$2:$B1000,A560 )</f>
        <v>#NUM!</v>
      </c>
      <c r="F560" s="9" t="str">
        <f t="array" ref="F560">IFERROR(INDEX(Data!C:C, MATCH($E560, Data!$B:$B, 0)), "")</f>
        <v/>
      </c>
      <c r="G560" s="9" t="str">
        <f t="array" ref="G560">IFERROR(INDEX(Data!D:D, MATCH($E560, Data!$B:$B, 0)), "")</f>
        <v/>
      </c>
      <c r="H560" s="9" t="str">
        <f t="array" ref="H560">IFERROR(INDEX(Data!E:E, MATCH($E560, Data!$B:$B, 0)), "")</f>
        <v/>
      </c>
      <c r="I560" s="9" t="str">
        <f t="shared" si="1"/>
        <v/>
      </c>
      <c r="J560" s="9" t="str">
        <f t="shared" si="2"/>
        <v>#REF!</v>
      </c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12">
        <v>559.0</v>
      </c>
      <c r="B561" s="13"/>
      <c r="C561" s="9" t="str">
        <f t="array" ref="C561">IFERROR(INDEX(Data!F:F, MATCH($E561, Data!$B:$B, 0)), "")</f>
        <v/>
      </c>
      <c r="D561" s="9" t="str">
        <f t="array" ref="D561">IFERROR(INDEX(Data!A:A, MATCH($E561, Data!$B:$B, 0)), "")</f>
        <v/>
      </c>
      <c r="E561" s="9" t="str">
        <f>LARGE(Data!$B$2:$B1000,A561 )</f>
        <v>#NUM!</v>
      </c>
      <c r="F561" s="9" t="str">
        <f t="array" ref="F561">IFERROR(INDEX(Data!C:C, MATCH($E561, Data!$B:$B, 0)), "")</f>
        <v/>
      </c>
      <c r="G561" s="9" t="str">
        <f t="array" ref="G561">IFERROR(INDEX(Data!D:D, MATCH($E561, Data!$B:$B, 0)), "")</f>
        <v/>
      </c>
      <c r="H561" s="9" t="str">
        <f t="array" ref="H561">IFERROR(INDEX(Data!E:E, MATCH($E561, Data!$B:$B, 0)), "")</f>
        <v/>
      </c>
      <c r="I561" s="9" t="str">
        <f t="shared" si="1"/>
        <v/>
      </c>
      <c r="J561" s="9" t="str">
        <f t="shared" si="2"/>
        <v>#REF!</v>
      </c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12">
        <v>560.0</v>
      </c>
      <c r="B562" s="13"/>
      <c r="C562" s="9" t="str">
        <f t="array" ref="C562">IFERROR(INDEX(Data!F:F, MATCH($E562, Data!$B:$B, 0)), "")</f>
        <v/>
      </c>
      <c r="D562" s="9" t="str">
        <f t="array" ref="D562">IFERROR(INDEX(Data!A:A, MATCH($E562, Data!$B:$B, 0)), "")</f>
        <v/>
      </c>
      <c r="E562" s="9" t="str">
        <f>LARGE(Data!$B$2:$B1000,A562 )</f>
        <v>#NUM!</v>
      </c>
      <c r="F562" s="9" t="str">
        <f t="array" ref="F562">IFERROR(INDEX(Data!C:C, MATCH($E562, Data!$B:$B, 0)), "")</f>
        <v/>
      </c>
      <c r="G562" s="9" t="str">
        <f t="array" ref="G562">IFERROR(INDEX(Data!D:D, MATCH($E562, Data!$B:$B, 0)), "")</f>
        <v/>
      </c>
      <c r="H562" s="9" t="str">
        <f t="array" ref="H562">IFERROR(INDEX(Data!E:E, MATCH($E562, Data!$B:$B, 0)), "")</f>
        <v/>
      </c>
      <c r="I562" s="9" t="str">
        <f t="shared" si="1"/>
        <v/>
      </c>
      <c r="J562" s="9" t="str">
        <f t="shared" si="2"/>
        <v>#REF!</v>
      </c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12">
        <v>561.0</v>
      </c>
      <c r="B563" s="13"/>
      <c r="C563" s="9" t="str">
        <f t="array" ref="C563">IFERROR(INDEX(Data!F:F, MATCH($E563, Data!$B:$B, 0)), "")</f>
        <v/>
      </c>
      <c r="D563" s="9" t="str">
        <f t="array" ref="D563">IFERROR(INDEX(Data!A:A, MATCH($E563, Data!$B:$B, 0)), "")</f>
        <v/>
      </c>
      <c r="E563" s="9" t="str">
        <f>LARGE(Data!$B$2:$B1000,A563 )</f>
        <v>#NUM!</v>
      </c>
      <c r="F563" s="9" t="str">
        <f t="array" ref="F563">IFERROR(INDEX(Data!C:C, MATCH($E563, Data!$B:$B, 0)), "")</f>
        <v/>
      </c>
      <c r="G563" s="9" t="str">
        <f t="array" ref="G563">IFERROR(INDEX(Data!D:D, MATCH($E563, Data!$B:$B, 0)), "")</f>
        <v/>
      </c>
      <c r="H563" s="9" t="str">
        <f t="array" ref="H563">IFERROR(INDEX(Data!E:E, MATCH($E563, Data!$B:$B, 0)), "")</f>
        <v/>
      </c>
      <c r="I563" s="9" t="str">
        <f t="shared" si="1"/>
        <v/>
      </c>
      <c r="J563" s="9" t="str">
        <f t="shared" si="2"/>
        <v>#REF!</v>
      </c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12">
        <v>562.0</v>
      </c>
      <c r="B564" s="13"/>
      <c r="C564" s="9" t="str">
        <f t="array" ref="C564">IFERROR(INDEX(Data!F:F, MATCH($E564, Data!$B:$B, 0)), "")</f>
        <v/>
      </c>
      <c r="D564" s="9" t="str">
        <f t="array" ref="D564">IFERROR(INDEX(Data!A:A, MATCH($E564, Data!$B:$B, 0)), "")</f>
        <v/>
      </c>
      <c r="E564" s="9" t="str">
        <f>LARGE(Data!$B$2:$B1000,A564 )</f>
        <v>#NUM!</v>
      </c>
      <c r="F564" s="9" t="str">
        <f t="array" ref="F564">IFERROR(INDEX(Data!C:C, MATCH($E564, Data!$B:$B, 0)), "")</f>
        <v/>
      </c>
      <c r="G564" s="9" t="str">
        <f t="array" ref="G564">IFERROR(INDEX(Data!D:D, MATCH($E564, Data!$B:$B, 0)), "")</f>
        <v/>
      </c>
      <c r="H564" s="9" t="str">
        <f t="array" ref="H564">IFERROR(INDEX(Data!E:E, MATCH($E564, Data!$B:$B, 0)), "")</f>
        <v/>
      </c>
      <c r="I564" s="9" t="str">
        <f t="shared" si="1"/>
        <v/>
      </c>
      <c r="J564" s="9" t="str">
        <f t="shared" si="2"/>
        <v>#REF!</v>
      </c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12">
        <v>563.0</v>
      </c>
      <c r="B565" s="13"/>
      <c r="C565" s="9" t="str">
        <f t="array" ref="C565">IFERROR(INDEX(Data!F:F, MATCH($E565, Data!$B:$B, 0)), "")</f>
        <v/>
      </c>
      <c r="D565" s="9" t="str">
        <f t="array" ref="D565">IFERROR(INDEX(Data!A:A, MATCH($E565, Data!$B:$B, 0)), "")</f>
        <v/>
      </c>
      <c r="E565" s="9" t="str">
        <f>LARGE(Data!$B$2:$B1000,A565 )</f>
        <v>#NUM!</v>
      </c>
      <c r="F565" s="9" t="str">
        <f t="array" ref="F565">IFERROR(INDEX(Data!C:C, MATCH($E565, Data!$B:$B, 0)), "")</f>
        <v/>
      </c>
      <c r="G565" s="9" t="str">
        <f t="array" ref="G565">IFERROR(INDEX(Data!D:D, MATCH($E565, Data!$B:$B, 0)), "")</f>
        <v/>
      </c>
      <c r="H565" s="9" t="str">
        <f t="array" ref="H565">IFERROR(INDEX(Data!E:E, MATCH($E565, Data!$B:$B, 0)), "")</f>
        <v/>
      </c>
      <c r="I565" s="9" t="str">
        <f t="shared" si="1"/>
        <v/>
      </c>
      <c r="J565" s="9" t="str">
        <f t="shared" si="2"/>
        <v>#REF!</v>
      </c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12">
        <v>564.0</v>
      </c>
      <c r="B566" s="13"/>
      <c r="C566" s="9" t="str">
        <f t="array" ref="C566">IFERROR(INDEX(Data!F:F, MATCH($E566, Data!$B:$B, 0)), "")</f>
        <v/>
      </c>
      <c r="D566" s="9" t="str">
        <f t="array" ref="D566">IFERROR(INDEX(Data!A:A, MATCH($E566, Data!$B:$B, 0)), "")</f>
        <v/>
      </c>
      <c r="E566" s="9" t="str">
        <f>LARGE(Data!$B$2:$B1000,A566 )</f>
        <v>#NUM!</v>
      </c>
      <c r="F566" s="9" t="str">
        <f t="array" ref="F566">IFERROR(INDEX(Data!C:C, MATCH($E566, Data!$B:$B, 0)), "")</f>
        <v/>
      </c>
      <c r="G566" s="9" t="str">
        <f t="array" ref="G566">IFERROR(INDEX(Data!D:D, MATCH($E566, Data!$B:$B, 0)), "")</f>
        <v/>
      </c>
      <c r="H566" s="9" t="str">
        <f t="array" ref="H566">IFERROR(INDEX(Data!E:E, MATCH($E566, Data!$B:$B, 0)), "")</f>
        <v/>
      </c>
      <c r="I566" s="9" t="str">
        <f t="shared" si="1"/>
        <v/>
      </c>
      <c r="J566" s="9" t="str">
        <f t="shared" si="2"/>
        <v>#REF!</v>
      </c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12">
        <v>565.0</v>
      </c>
      <c r="B567" s="13"/>
      <c r="C567" s="9" t="str">
        <f t="array" ref="C567">IFERROR(INDEX(Data!F:F, MATCH($E567, Data!$B:$B, 0)), "")</f>
        <v/>
      </c>
      <c r="D567" s="9" t="str">
        <f t="array" ref="D567">IFERROR(INDEX(Data!A:A, MATCH($E567, Data!$B:$B, 0)), "")</f>
        <v/>
      </c>
      <c r="E567" s="9" t="str">
        <f>LARGE(Data!$B$2:$B1000,A567 )</f>
        <v>#NUM!</v>
      </c>
      <c r="F567" s="9" t="str">
        <f t="array" ref="F567">IFERROR(INDEX(Data!C:C, MATCH($E567, Data!$B:$B, 0)), "")</f>
        <v/>
      </c>
      <c r="G567" s="9" t="str">
        <f t="array" ref="G567">IFERROR(INDEX(Data!D:D, MATCH($E567, Data!$B:$B, 0)), "")</f>
        <v/>
      </c>
      <c r="H567" s="9" t="str">
        <f t="array" ref="H567">IFERROR(INDEX(Data!E:E, MATCH($E567, Data!$B:$B, 0)), "")</f>
        <v/>
      </c>
      <c r="I567" s="9" t="str">
        <f t="shared" si="1"/>
        <v/>
      </c>
      <c r="J567" s="9" t="str">
        <f t="shared" si="2"/>
        <v>#REF!</v>
      </c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12">
        <v>566.0</v>
      </c>
      <c r="B568" s="13"/>
      <c r="C568" s="9" t="str">
        <f t="array" ref="C568">IFERROR(INDEX(Data!F:F, MATCH($E568, Data!$B:$B, 0)), "")</f>
        <v/>
      </c>
      <c r="D568" s="9" t="str">
        <f t="array" ref="D568">IFERROR(INDEX(Data!A:A, MATCH($E568, Data!$B:$B, 0)), "")</f>
        <v/>
      </c>
      <c r="E568" s="9" t="str">
        <f>LARGE(Data!$B$2:$B1000,A568 )</f>
        <v>#NUM!</v>
      </c>
      <c r="F568" s="9" t="str">
        <f t="array" ref="F568">IFERROR(INDEX(Data!C:C, MATCH($E568, Data!$B:$B, 0)), "")</f>
        <v/>
      </c>
      <c r="G568" s="9" t="str">
        <f t="array" ref="G568">IFERROR(INDEX(Data!D:D, MATCH($E568, Data!$B:$B, 0)), "")</f>
        <v/>
      </c>
      <c r="H568" s="9" t="str">
        <f t="array" ref="H568">IFERROR(INDEX(Data!E:E, MATCH($E568, Data!$B:$B, 0)), "")</f>
        <v/>
      </c>
      <c r="I568" s="9" t="str">
        <f t="shared" si="1"/>
        <v/>
      </c>
      <c r="J568" s="9" t="str">
        <f t="shared" si="2"/>
        <v>#REF!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12">
        <v>567.0</v>
      </c>
      <c r="B569" s="13"/>
      <c r="C569" s="9" t="str">
        <f t="array" ref="C569">IFERROR(INDEX(Data!F:F, MATCH($E569, Data!$B:$B, 0)), "")</f>
        <v/>
      </c>
      <c r="D569" s="9" t="str">
        <f t="array" ref="D569">IFERROR(INDEX(Data!A:A, MATCH($E569, Data!$B:$B, 0)), "")</f>
        <v/>
      </c>
      <c r="E569" s="9" t="str">
        <f>LARGE(Data!$B$2:$B1000,A569 )</f>
        <v>#NUM!</v>
      </c>
      <c r="F569" s="9" t="str">
        <f t="array" ref="F569">IFERROR(INDEX(Data!C:C, MATCH($E569, Data!$B:$B, 0)), "")</f>
        <v/>
      </c>
      <c r="G569" s="9" t="str">
        <f t="array" ref="G569">IFERROR(INDEX(Data!D:D, MATCH($E569, Data!$B:$B, 0)), "")</f>
        <v/>
      </c>
      <c r="H569" s="9" t="str">
        <f t="array" ref="H569">IFERROR(INDEX(Data!E:E, MATCH($E569, Data!$B:$B, 0)), "")</f>
        <v/>
      </c>
      <c r="I569" s="9" t="str">
        <f t="shared" si="1"/>
        <v/>
      </c>
      <c r="J569" s="9" t="str">
        <f t="shared" si="2"/>
        <v>#REF!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12">
        <v>568.0</v>
      </c>
      <c r="B570" s="13"/>
      <c r="C570" s="9" t="str">
        <f t="array" ref="C570">IFERROR(INDEX(Data!F:F, MATCH($E570, Data!$B:$B, 0)), "")</f>
        <v/>
      </c>
      <c r="D570" s="9" t="str">
        <f t="array" ref="D570">IFERROR(INDEX(Data!A:A, MATCH($E570, Data!$B:$B, 0)), "")</f>
        <v/>
      </c>
      <c r="E570" s="9" t="str">
        <f>LARGE(Data!$B$2:$B1000,A570 )</f>
        <v>#NUM!</v>
      </c>
      <c r="F570" s="9" t="str">
        <f t="array" ref="F570">IFERROR(INDEX(Data!C:C, MATCH($E570, Data!$B:$B, 0)), "")</f>
        <v/>
      </c>
      <c r="G570" s="9" t="str">
        <f t="array" ref="G570">IFERROR(INDEX(Data!D:D, MATCH($E570, Data!$B:$B, 0)), "")</f>
        <v/>
      </c>
      <c r="H570" s="9" t="str">
        <f t="array" ref="H570">IFERROR(INDEX(Data!E:E, MATCH($E570, Data!$B:$B, 0)), "")</f>
        <v/>
      </c>
      <c r="I570" s="9" t="str">
        <f t="shared" si="1"/>
        <v/>
      </c>
      <c r="J570" s="9" t="str">
        <f t="shared" si="2"/>
        <v>#REF!</v>
      </c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12">
        <v>569.0</v>
      </c>
      <c r="B571" s="13"/>
      <c r="C571" s="9" t="str">
        <f t="array" ref="C571">IFERROR(INDEX(Data!F:F, MATCH($E571, Data!$B:$B, 0)), "")</f>
        <v/>
      </c>
      <c r="D571" s="9" t="str">
        <f t="array" ref="D571">IFERROR(INDEX(Data!A:A, MATCH($E571, Data!$B:$B, 0)), "")</f>
        <v/>
      </c>
      <c r="E571" s="9" t="str">
        <f>LARGE(Data!$B$2:$B1000,A571 )</f>
        <v>#NUM!</v>
      </c>
      <c r="F571" s="9" t="str">
        <f t="array" ref="F571">IFERROR(INDEX(Data!C:C, MATCH($E571, Data!$B:$B, 0)), "")</f>
        <v/>
      </c>
      <c r="G571" s="9" t="str">
        <f t="array" ref="G571">IFERROR(INDEX(Data!D:D, MATCH($E571, Data!$B:$B, 0)), "")</f>
        <v/>
      </c>
      <c r="H571" s="9" t="str">
        <f t="array" ref="H571">IFERROR(INDEX(Data!E:E, MATCH($E571, Data!$B:$B, 0)), "")</f>
        <v/>
      </c>
      <c r="I571" s="9" t="str">
        <f t="shared" si="1"/>
        <v/>
      </c>
      <c r="J571" s="9" t="str">
        <f t="shared" si="2"/>
        <v>#REF!</v>
      </c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12">
        <v>570.0</v>
      </c>
      <c r="B572" s="13"/>
      <c r="C572" s="9" t="str">
        <f t="array" ref="C572">IFERROR(INDEX(Data!F:F, MATCH($E572, Data!$B:$B, 0)), "")</f>
        <v/>
      </c>
      <c r="D572" s="9" t="str">
        <f t="array" ref="D572">IFERROR(INDEX(Data!A:A, MATCH($E572, Data!$B:$B, 0)), "")</f>
        <v/>
      </c>
      <c r="E572" s="9" t="str">
        <f>LARGE(Data!$B$2:$B1000,A572 )</f>
        <v>#NUM!</v>
      </c>
      <c r="F572" s="9" t="str">
        <f t="array" ref="F572">IFERROR(INDEX(Data!C:C, MATCH($E572, Data!$B:$B, 0)), "")</f>
        <v/>
      </c>
      <c r="G572" s="9" t="str">
        <f t="array" ref="G572">IFERROR(INDEX(Data!D:D, MATCH($E572, Data!$B:$B, 0)), "")</f>
        <v/>
      </c>
      <c r="H572" s="9" t="str">
        <f t="array" ref="H572">IFERROR(INDEX(Data!E:E, MATCH($E572, Data!$B:$B, 0)), "")</f>
        <v/>
      </c>
      <c r="I572" s="9" t="str">
        <f t="shared" si="1"/>
        <v/>
      </c>
      <c r="J572" s="9" t="str">
        <f t="shared" si="2"/>
        <v>#REF!</v>
      </c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12">
        <v>571.0</v>
      </c>
      <c r="B573" s="13"/>
      <c r="C573" s="9" t="str">
        <f t="array" ref="C573">IFERROR(INDEX(Data!F:F, MATCH($E573, Data!$B:$B, 0)), "")</f>
        <v/>
      </c>
      <c r="D573" s="9" t="str">
        <f t="array" ref="D573">IFERROR(INDEX(Data!A:A, MATCH($E573, Data!$B:$B, 0)), "")</f>
        <v/>
      </c>
      <c r="E573" s="9" t="str">
        <f>LARGE(Data!$B$2:$B1000,A573 )</f>
        <v>#NUM!</v>
      </c>
      <c r="F573" s="9" t="str">
        <f t="array" ref="F573">IFERROR(INDEX(Data!C:C, MATCH($E573, Data!$B:$B, 0)), "")</f>
        <v/>
      </c>
      <c r="G573" s="9" t="str">
        <f t="array" ref="G573">IFERROR(INDEX(Data!D:D, MATCH($E573, Data!$B:$B, 0)), "")</f>
        <v/>
      </c>
      <c r="H573" s="9" t="str">
        <f t="array" ref="H573">IFERROR(INDEX(Data!E:E, MATCH($E573, Data!$B:$B, 0)), "")</f>
        <v/>
      </c>
      <c r="I573" s="9" t="str">
        <f t="shared" si="1"/>
        <v/>
      </c>
      <c r="J573" s="9" t="str">
        <f t="shared" si="2"/>
        <v>#REF!</v>
      </c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12">
        <v>572.0</v>
      </c>
      <c r="B574" s="13"/>
      <c r="C574" s="9" t="str">
        <f t="array" ref="C574">IFERROR(INDEX(Data!F:F, MATCH($E574, Data!$B:$B, 0)), "")</f>
        <v/>
      </c>
      <c r="D574" s="9" t="str">
        <f t="array" ref="D574">IFERROR(INDEX(Data!A:A, MATCH($E574, Data!$B:$B, 0)), "")</f>
        <v/>
      </c>
      <c r="E574" s="9" t="str">
        <f>LARGE(Data!$B$2:$B1000,A574 )</f>
        <v>#NUM!</v>
      </c>
      <c r="F574" s="9" t="str">
        <f t="array" ref="F574">IFERROR(INDEX(Data!C:C, MATCH($E574, Data!$B:$B, 0)), "")</f>
        <v/>
      </c>
      <c r="G574" s="9" t="str">
        <f t="array" ref="G574">IFERROR(INDEX(Data!D:D, MATCH($E574, Data!$B:$B, 0)), "")</f>
        <v/>
      </c>
      <c r="H574" s="9" t="str">
        <f t="array" ref="H574">IFERROR(INDEX(Data!E:E, MATCH($E574, Data!$B:$B, 0)), "")</f>
        <v/>
      </c>
      <c r="I574" s="9" t="str">
        <f t="shared" si="1"/>
        <v/>
      </c>
      <c r="J574" s="9" t="str">
        <f t="shared" si="2"/>
        <v>#REF!</v>
      </c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12">
        <v>573.0</v>
      </c>
      <c r="B575" s="13"/>
      <c r="C575" s="9" t="str">
        <f t="array" ref="C575">IFERROR(INDEX(Data!F:F, MATCH($E575, Data!$B:$B, 0)), "")</f>
        <v/>
      </c>
      <c r="D575" s="9" t="str">
        <f t="array" ref="D575">IFERROR(INDEX(Data!A:A, MATCH($E575, Data!$B:$B, 0)), "")</f>
        <v/>
      </c>
      <c r="E575" s="9" t="str">
        <f>LARGE(Data!$B$2:$B1000,A575 )</f>
        <v>#NUM!</v>
      </c>
      <c r="F575" s="9" t="str">
        <f t="array" ref="F575">IFERROR(INDEX(Data!C:C, MATCH($E575, Data!$B:$B, 0)), "")</f>
        <v/>
      </c>
      <c r="G575" s="9" t="str">
        <f t="array" ref="G575">IFERROR(INDEX(Data!D:D, MATCH($E575, Data!$B:$B, 0)), "")</f>
        <v/>
      </c>
      <c r="H575" s="9" t="str">
        <f t="array" ref="H575">IFERROR(INDEX(Data!E:E, MATCH($E575, Data!$B:$B, 0)), "")</f>
        <v/>
      </c>
      <c r="I575" s="9" t="str">
        <f t="shared" si="1"/>
        <v/>
      </c>
      <c r="J575" s="9" t="str">
        <f t="shared" si="2"/>
        <v>#REF!</v>
      </c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12">
        <v>574.0</v>
      </c>
      <c r="B576" s="13"/>
      <c r="C576" s="9" t="str">
        <f t="array" ref="C576">IFERROR(INDEX(Data!F:F, MATCH($E576, Data!$B:$B, 0)), "")</f>
        <v/>
      </c>
      <c r="D576" s="9" t="str">
        <f t="array" ref="D576">IFERROR(INDEX(Data!A:A, MATCH($E576, Data!$B:$B, 0)), "")</f>
        <v/>
      </c>
      <c r="E576" s="9" t="str">
        <f>LARGE(Data!$B$2:$B1000,A576 )</f>
        <v>#NUM!</v>
      </c>
      <c r="F576" s="9" t="str">
        <f t="array" ref="F576">IFERROR(INDEX(Data!C:C, MATCH($E576, Data!$B:$B, 0)), "")</f>
        <v/>
      </c>
      <c r="G576" s="9" t="str">
        <f t="array" ref="G576">IFERROR(INDEX(Data!D:D, MATCH($E576, Data!$B:$B, 0)), "")</f>
        <v/>
      </c>
      <c r="H576" s="9" t="str">
        <f t="array" ref="H576">IFERROR(INDEX(Data!E:E, MATCH($E576, Data!$B:$B, 0)), "")</f>
        <v/>
      </c>
      <c r="I576" s="9" t="str">
        <f t="shared" si="1"/>
        <v/>
      </c>
      <c r="J576" s="9" t="str">
        <f t="shared" si="2"/>
        <v>#REF!</v>
      </c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12">
        <v>575.0</v>
      </c>
      <c r="B577" s="13"/>
      <c r="C577" s="9" t="str">
        <f t="array" ref="C577">IFERROR(INDEX(Data!F:F, MATCH($E577, Data!$B:$B, 0)), "")</f>
        <v/>
      </c>
      <c r="D577" s="9" t="str">
        <f t="array" ref="D577">IFERROR(INDEX(Data!A:A, MATCH($E577, Data!$B:$B, 0)), "")</f>
        <v/>
      </c>
      <c r="E577" s="9" t="str">
        <f>LARGE(Data!$B$2:$B1000,A577 )</f>
        <v>#NUM!</v>
      </c>
      <c r="F577" s="9" t="str">
        <f t="array" ref="F577">IFERROR(INDEX(Data!C:C, MATCH($E577, Data!$B:$B, 0)), "")</f>
        <v/>
      </c>
      <c r="G577" s="9" t="str">
        <f t="array" ref="G577">IFERROR(INDEX(Data!D:D, MATCH($E577, Data!$B:$B, 0)), "")</f>
        <v/>
      </c>
      <c r="H577" s="9" t="str">
        <f t="array" ref="H577">IFERROR(INDEX(Data!E:E, MATCH($E577, Data!$B:$B, 0)), "")</f>
        <v/>
      </c>
      <c r="I577" s="9" t="str">
        <f t="shared" si="1"/>
        <v/>
      </c>
      <c r="J577" s="9" t="str">
        <f t="shared" si="2"/>
        <v>#REF!</v>
      </c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12">
        <v>576.0</v>
      </c>
      <c r="B578" s="13"/>
      <c r="C578" s="9" t="str">
        <f t="array" ref="C578">IFERROR(INDEX(Data!F:F, MATCH($E578, Data!$B:$B, 0)), "")</f>
        <v/>
      </c>
      <c r="D578" s="9" t="str">
        <f t="array" ref="D578">IFERROR(INDEX(Data!A:A, MATCH($E578, Data!$B:$B, 0)), "")</f>
        <v/>
      </c>
      <c r="E578" s="9" t="str">
        <f>LARGE(Data!$B$2:$B1000,A578 )</f>
        <v>#NUM!</v>
      </c>
      <c r="F578" s="9" t="str">
        <f t="array" ref="F578">IFERROR(INDEX(Data!C:C, MATCH($E578, Data!$B:$B, 0)), "")</f>
        <v/>
      </c>
      <c r="G578" s="9" t="str">
        <f t="array" ref="G578">IFERROR(INDEX(Data!D:D, MATCH($E578, Data!$B:$B, 0)), "")</f>
        <v/>
      </c>
      <c r="H578" s="9" t="str">
        <f t="array" ref="H578">IFERROR(INDEX(Data!E:E, MATCH($E578, Data!$B:$B, 0)), "")</f>
        <v/>
      </c>
      <c r="I578" s="9" t="str">
        <f t="shared" si="1"/>
        <v/>
      </c>
      <c r="J578" s="9" t="str">
        <f t="shared" si="2"/>
        <v>#REF!</v>
      </c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12">
        <v>577.0</v>
      </c>
      <c r="B579" s="13"/>
      <c r="C579" s="9" t="str">
        <f t="array" ref="C579">IFERROR(INDEX(Data!F:F, MATCH($E579, Data!$B:$B, 0)), "")</f>
        <v/>
      </c>
      <c r="D579" s="9" t="str">
        <f t="array" ref="D579">IFERROR(INDEX(Data!A:A, MATCH($E579, Data!$B:$B, 0)), "")</f>
        <v/>
      </c>
      <c r="E579" s="9" t="str">
        <f>LARGE(Data!$B$2:$B1000,A579 )</f>
        <v>#NUM!</v>
      </c>
      <c r="F579" s="9" t="str">
        <f t="array" ref="F579">IFERROR(INDEX(Data!C:C, MATCH($E579, Data!$B:$B, 0)), "")</f>
        <v/>
      </c>
      <c r="G579" s="9" t="str">
        <f t="array" ref="G579">IFERROR(INDEX(Data!D:D, MATCH($E579, Data!$B:$B, 0)), "")</f>
        <v/>
      </c>
      <c r="H579" s="9" t="str">
        <f t="array" ref="H579">IFERROR(INDEX(Data!E:E, MATCH($E579, Data!$B:$B, 0)), "")</f>
        <v/>
      </c>
      <c r="I579" s="9" t="str">
        <f t="shared" si="1"/>
        <v/>
      </c>
      <c r="J579" s="9" t="str">
        <f t="shared" si="2"/>
        <v>#REF!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12">
        <v>578.0</v>
      </c>
      <c r="B580" s="13"/>
      <c r="C580" s="9" t="str">
        <f t="array" ref="C580">IFERROR(INDEX(Data!F:F, MATCH($E580, Data!$B:$B, 0)), "")</f>
        <v/>
      </c>
      <c r="D580" s="9" t="str">
        <f t="array" ref="D580">IFERROR(INDEX(Data!A:A, MATCH($E580, Data!$B:$B, 0)), "")</f>
        <v/>
      </c>
      <c r="E580" s="9" t="str">
        <f>LARGE(Data!$B$2:$B1000,A580 )</f>
        <v>#NUM!</v>
      </c>
      <c r="F580" s="9" t="str">
        <f t="array" ref="F580">IFERROR(INDEX(Data!C:C, MATCH($E580, Data!$B:$B, 0)), "")</f>
        <v/>
      </c>
      <c r="G580" s="9" t="str">
        <f t="array" ref="G580">IFERROR(INDEX(Data!D:D, MATCH($E580, Data!$B:$B, 0)), "")</f>
        <v/>
      </c>
      <c r="H580" s="9" t="str">
        <f t="array" ref="H580">IFERROR(INDEX(Data!E:E, MATCH($E580, Data!$B:$B, 0)), "")</f>
        <v/>
      </c>
      <c r="I580" s="9" t="str">
        <f t="shared" si="1"/>
        <v/>
      </c>
      <c r="J580" s="9" t="str">
        <f t="shared" si="2"/>
        <v>#REF!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12">
        <v>579.0</v>
      </c>
      <c r="B581" s="13"/>
      <c r="C581" s="9" t="str">
        <f t="array" ref="C581">IFERROR(INDEX(Data!F:F, MATCH($E581, Data!$B:$B, 0)), "")</f>
        <v/>
      </c>
      <c r="D581" s="9" t="str">
        <f t="array" ref="D581">IFERROR(INDEX(Data!A:A, MATCH($E581, Data!$B:$B, 0)), "")</f>
        <v/>
      </c>
      <c r="E581" s="9" t="str">
        <f>LARGE(Data!$B$2:$B1000,A581 )</f>
        <v>#NUM!</v>
      </c>
      <c r="F581" s="9" t="str">
        <f t="array" ref="F581">IFERROR(INDEX(Data!C:C, MATCH($E581, Data!$B:$B, 0)), "")</f>
        <v/>
      </c>
      <c r="G581" s="9" t="str">
        <f t="array" ref="G581">IFERROR(INDEX(Data!D:D, MATCH($E581, Data!$B:$B, 0)), "")</f>
        <v/>
      </c>
      <c r="H581" s="9" t="str">
        <f t="array" ref="H581">IFERROR(INDEX(Data!E:E, MATCH($E581, Data!$B:$B, 0)), "")</f>
        <v/>
      </c>
      <c r="I581" s="9" t="str">
        <f t="shared" si="1"/>
        <v/>
      </c>
      <c r="J581" s="9" t="str">
        <f t="shared" si="2"/>
        <v>#REF!</v>
      </c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12">
        <v>580.0</v>
      </c>
      <c r="B582" s="13"/>
      <c r="C582" s="9" t="str">
        <f t="array" ref="C582">IFERROR(INDEX(Data!F:F, MATCH($E582, Data!$B:$B, 0)), "")</f>
        <v/>
      </c>
      <c r="D582" s="9" t="str">
        <f t="array" ref="D582">IFERROR(INDEX(Data!A:A, MATCH($E582, Data!$B:$B, 0)), "")</f>
        <v/>
      </c>
      <c r="E582" s="9" t="str">
        <f>LARGE(Data!$B$2:$B1000,A582 )</f>
        <v>#NUM!</v>
      </c>
      <c r="F582" s="9" t="str">
        <f t="array" ref="F582">IFERROR(INDEX(Data!C:C, MATCH($E582, Data!$B:$B, 0)), "")</f>
        <v/>
      </c>
      <c r="G582" s="9" t="str">
        <f t="array" ref="G582">IFERROR(INDEX(Data!D:D, MATCH($E582, Data!$B:$B, 0)), "")</f>
        <v/>
      </c>
      <c r="H582" s="9" t="str">
        <f t="array" ref="H582">IFERROR(INDEX(Data!E:E, MATCH($E582, Data!$B:$B, 0)), "")</f>
        <v/>
      </c>
      <c r="I582" s="9" t="str">
        <f t="shared" si="1"/>
        <v/>
      </c>
      <c r="J582" s="9" t="str">
        <f t="shared" si="2"/>
        <v>#REF!</v>
      </c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12">
        <v>581.0</v>
      </c>
      <c r="B583" s="13"/>
      <c r="C583" s="9" t="str">
        <f t="array" ref="C583">IFERROR(INDEX(Data!F:F, MATCH($E583, Data!$B:$B, 0)), "")</f>
        <v/>
      </c>
      <c r="D583" s="9" t="str">
        <f t="array" ref="D583">IFERROR(INDEX(Data!A:A, MATCH($E583, Data!$B:$B, 0)), "")</f>
        <v/>
      </c>
      <c r="E583" s="9" t="str">
        <f>LARGE(Data!$B$2:$B1000,A583 )</f>
        <v>#NUM!</v>
      </c>
      <c r="F583" s="9" t="str">
        <f t="array" ref="F583">IFERROR(INDEX(Data!C:C, MATCH($E583, Data!$B:$B, 0)), "")</f>
        <v/>
      </c>
      <c r="G583" s="9" t="str">
        <f t="array" ref="G583">IFERROR(INDEX(Data!D:D, MATCH($E583, Data!$B:$B, 0)), "")</f>
        <v/>
      </c>
      <c r="H583" s="9" t="str">
        <f t="array" ref="H583">IFERROR(INDEX(Data!E:E, MATCH($E583, Data!$B:$B, 0)), "")</f>
        <v/>
      </c>
      <c r="I583" s="9" t="str">
        <f t="shared" si="1"/>
        <v/>
      </c>
      <c r="J583" s="9" t="str">
        <f t="shared" si="2"/>
        <v>#REF!</v>
      </c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12">
        <v>582.0</v>
      </c>
      <c r="B584" s="13"/>
      <c r="C584" s="9" t="str">
        <f t="array" ref="C584">IFERROR(INDEX(Data!F:F, MATCH($E584, Data!$B:$B, 0)), "")</f>
        <v/>
      </c>
      <c r="D584" s="9" t="str">
        <f t="array" ref="D584">IFERROR(INDEX(Data!A:A, MATCH($E584, Data!$B:$B, 0)), "")</f>
        <v/>
      </c>
      <c r="E584" s="9" t="str">
        <f>LARGE(Data!$B$2:$B1000,A584 )</f>
        <v>#NUM!</v>
      </c>
      <c r="F584" s="9" t="str">
        <f t="array" ref="F584">IFERROR(INDEX(Data!C:C, MATCH($E584, Data!$B:$B, 0)), "")</f>
        <v/>
      </c>
      <c r="G584" s="9" t="str">
        <f t="array" ref="G584">IFERROR(INDEX(Data!D:D, MATCH($E584, Data!$B:$B, 0)), "")</f>
        <v/>
      </c>
      <c r="H584" s="9" t="str">
        <f t="array" ref="H584">IFERROR(INDEX(Data!E:E, MATCH($E584, Data!$B:$B, 0)), "")</f>
        <v/>
      </c>
      <c r="I584" s="9" t="str">
        <f t="shared" si="1"/>
        <v/>
      </c>
      <c r="J584" s="9" t="str">
        <f t="shared" si="2"/>
        <v>#REF!</v>
      </c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12">
        <v>583.0</v>
      </c>
      <c r="B585" s="13"/>
      <c r="C585" s="9" t="str">
        <f t="array" ref="C585">IFERROR(INDEX(Data!F:F, MATCH($E585, Data!$B:$B, 0)), "")</f>
        <v/>
      </c>
      <c r="D585" s="9" t="str">
        <f t="array" ref="D585">IFERROR(INDEX(Data!A:A, MATCH($E585, Data!$B:$B, 0)), "")</f>
        <v/>
      </c>
      <c r="E585" s="9" t="str">
        <f>LARGE(Data!$B$2:$B1000,A585 )</f>
        <v>#NUM!</v>
      </c>
      <c r="F585" s="9" t="str">
        <f t="array" ref="F585">IFERROR(INDEX(Data!C:C, MATCH($E585, Data!$B:$B, 0)), "")</f>
        <v/>
      </c>
      <c r="G585" s="9" t="str">
        <f t="array" ref="G585">IFERROR(INDEX(Data!D:D, MATCH($E585, Data!$B:$B, 0)), "")</f>
        <v/>
      </c>
      <c r="H585" s="9" t="str">
        <f t="array" ref="H585">IFERROR(INDEX(Data!E:E, MATCH($E585, Data!$B:$B, 0)), "")</f>
        <v/>
      </c>
      <c r="I585" s="9" t="str">
        <f t="shared" si="1"/>
        <v/>
      </c>
      <c r="J585" s="9" t="str">
        <f t="shared" si="2"/>
        <v>#REF!</v>
      </c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12">
        <v>584.0</v>
      </c>
      <c r="B586" s="13"/>
      <c r="C586" s="9" t="str">
        <f t="array" ref="C586">IFERROR(INDEX(Data!F:F, MATCH($E586, Data!$B:$B, 0)), "")</f>
        <v/>
      </c>
      <c r="D586" s="9" t="str">
        <f t="array" ref="D586">IFERROR(INDEX(Data!A:A, MATCH($E586, Data!$B:$B, 0)), "")</f>
        <v/>
      </c>
      <c r="E586" s="9" t="str">
        <f>LARGE(Data!$B$2:$B1000,A586 )</f>
        <v>#NUM!</v>
      </c>
      <c r="F586" s="9" t="str">
        <f t="array" ref="F586">IFERROR(INDEX(Data!C:C, MATCH($E586, Data!$B:$B, 0)), "")</f>
        <v/>
      </c>
      <c r="G586" s="9" t="str">
        <f t="array" ref="G586">IFERROR(INDEX(Data!D:D, MATCH($E586, Data!$B:$B, 0)), "")</f>
        <v/>
      </c>
      <c r="H586" s="9" t="str">
        <f t="array" ref="H586">IFERROR(INDEX(Data!E:E, MATCH($E586, Data!$B:$B, 0)), "")</f>
        <v/>
      </c>
      <c r="I586" s="9" t="str">
        <f t="shared" si="1"/>
        <v/>
      </c>
      <c r="J586" s="9" t="str">
        <f t="shared" si="2"/>
        <v>#REF!</v>
      </c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12">
        <v>585.0</v>
      </c>
      <c r="B587" s="13"/>
      <c r="C587" s="9" t="str">
        <f t="array" ref="C587">IFERROR(INDEX(Data!F:F, MATCH($E587, Data!$B:$B, 0)), "")</f>
        <v/>
      </c>
      <c r="D587" s="9" t="str">
        <f t="array" ref="D587">IFERROR(INDEX(Data!A:A, MATCH($E587, Data!$B:$B, 0)), "")</f>
        <v/>
      </c>
      <c r="E587" s="9" t="str">
        <f>LARGE(Data!$B$2:$B1000,A587 )</f>
        <v>#NUM!</v>
      </c>
      <c r="F587" s="9" t="str">
        <f t="array" ref="F587">IFERROR(INDEX(Data!C:C, MATCH($E587, Data!$B:$B, 0)), "")</f>
        <v/>
      </c>
      <c r="G587" s="9" t="str">
        <f t="array" ref="G587">IFERROR(INDEX(Data!D:D, MATCH($E587, Data!$B:$B, 0)), "")</f>
        <v/>
      </c>
      <c r="H587" s="9" t="str">
        <f t="array" ref="H587">IFERROR(INDEX(Data!E:E, MATCH($E587, Data!$B:$B, 0)), "")</f>
        <v/>
      </c>
      <c r="I587" s="9" t="str">
        <f t="shared" si="1"/>
        <v/>
      </c>
      <c r="J587" s="9" t="str">
        <f t="shared" si="2"/>
        <v>#REF!</v>
      </c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12">
        <v>586.0</v>
      </c>
      <c r="B588" s="13"/>
      <c r="C588" s="9" t="str">
        <f t="array" ref="C588">IFERROR(INDEX(Data!F:F, MATCH($E588, Data!$B:$B, 0)), "")</f>
        <v/>
      </c>
      <c r="D588" s="9" t="str">
        <f t="array" ref="D588">IFERROR(INDEX(Data!A:A, MATCH($E588, Data!$B:$B, 0)), "")</f>
        <v/>
      </c>
      <c r="E588" s="9" t="str">
        <f>LARGE(Data!$B$2:$B1000,A588 )</f>
        <v>#NUM!</v>
      </c>
      <c r="F588" s="9" t="str">
        <f t="array" ref="F588">IFERROR(INDEX(Data!C:C, MATCH($E588, Data!$B:$B, 0)), "")</f>
        <v/>
      </c>
      <c r="G588" s="9" t="str">
        <f t="array" ref="G588">IFERROR(INDEX(Data!D:D, MATCH($E588, Data!$B:$B, 0)), "")</f>
        <v/>
      </c>
      <c r="H588" s="9" t="str">
        <f t="array" ref="H588">IFERROR(INDEX(Data!E:E, MATCH($E588, Data!$B:$B, 0)), "")</f>
        <v/>
      </c>
      <c r="I588" s="9" t="str">
        <f t="shared" si="1"/>
        <v/>
      </c>
      <c r="J588" s="9" t="str">
        <f t="shared" si="2"/>
        <v>#REF!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12">
        <v>587.0</v>
      </c>
      <c r="B589" s="13"/>
      <c r="C589" s="9" t="str">
        <f t="array" ref="C589">IFERROR(INDEX(Data!F:F, MATCH($E589, Data!$B:$B, 0)), "")</f>
        <v/>
      </c>
      <c r="D589" s="9" t="str">
        <f t="array" ref="D589">IFERROR(INDEX(Data!A:A, MATCH($E589, Data!$B:$B, 0)), "")</f>
        <v/>
      </c>
      <c r="E589" s="9" t="str">
        <f>LARGE(Data!$B$2:$B1000,A589 )</f>
        <v>#NUM!</v>
      </c>
      <c r="F589" s="9" t="str">
        <f t="array" ref="F589">IFERROR(INDEX(Data!C:C, MATCH($E589, Data!$B:$B, 0)), "")</f>
        <v/>
      </c>
      <c r="G589" s="9" t="str">
        <f t="array" ref="G589">IFERROR(INDEX(Data!D:D, MATCH($E589, Data!$B:$B, 0)), "")</f>
        <v/>
      </c>
      <c r="H589" s="9" t="str">
        <f t="array" ref="H589">IFERROR(INDEX(Data!E:E, MATCH($E589, Data!$B:$B, 0)), "")</f>
        <v/>
      </c>
      <c r="I589" s="9" t="str">
        <f t="shared" si="1"/>
        <v/>
      </c>
      <c r="J589" s="9" t="str">
        <f t="shared" si="2"/>
        <v>#REF!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12">
        <v>588.0</v>
      </c>
      <c r="B590" s="13"/>
      <c r="C590" s="9" t="str">
        <f t="array" ref="C590">IFERROR(INDEX(Data!F:F, MATCH($E590, Data!$B:$B, 0)), "")</f>
        <v/>
      </c>
      <c r="D590" s="9" t="str">
        <f t="array" ref="D590">IFERROR(INDEX(Data!A:A, MATCH($E590, Data!$B:$B, 0)), "")</f>
        <v/>
      </c>
      <c r="E590" s="9" t="str">
        <f>LARGE(Data!$B$2:$B1000,A590 )</f>
        <v>#NUM!</v>
      </c>
      <c r="F590" s="9" t="str">
        <f t="array" ref="F590">IFERROR(INDEX(Data!C:C, MATCH($E590, Data!$B:$B, 0)), "")</f>
        <v/>
      </c>
      <c r="G590" s="9" t="str">
        <f t="array" ref="G590">IFERROR(INDEX(Data!D:D, MATCH($E590, Data!$B:$B, 0)), "")</f>
        <v/>
      </c>
      <c r="H590" s="9" t="str">
        <f t="array" ref="H590">IFERROR(INDEX(Data!E:E, MATCH($E590, Data!$B:$B, 0)), "")</f>
        <v/>
      </c>
      <c r="I590" s="9" t="str">
        <f t="shared" si="1"/>
        <v/>
      </c>
      <c r="J590" s="9" t="str">
        <f t="shared" si="2"/>
        <v>#REF!</v>
      </c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12">
        <v>589.0</v>
      </c>
      <c r="B591" s="13"/>
      <c r="C591" s="9" t="str">
        <f t="array" ref="C591">IFERROR(INDEX(Data!F:F, MATCH($E591, Data!$B:$B, 0)), "")</f>
        <v/>
      </c>
      <c r="D591" s="9" t="str">
        <f t="array" ref="D591">IFERROR(INDEX(Data!A:A, MATCH($E591, Data!$B:$B, 0)), "")</f>
        <v/>
      </c>
      <c r="E591" s="9" t="str">
        <f>LARGE(Data!$B$2:$B1000,A591 )</f>
        <v>#NUM!</v>
      </c>
      <c r="F591" s="9" t="str">
        <f t="array" ref="F591">IFERROR(INDEX(Data!C:C, MATCH($E591, Data!$B:$B, 0)), "")</f>
        <v/>
      </c>
      <c r="G591" s="9" t="str">
        <f t="array" ref="G591">IFERROR(INDEX(Data!D:D, MATCH($E591, Data!$B:$B, 0)), "")</f>
        <v/>
      </c>
      <c r="H591" s="9" t="str">
        <f t="array" ref="H591">IFERROR(INDEX(Data!E:E, MATCH($E591, Data!$B:$B, 0)), "")</f>
        <v/>
      </c>
      <c r="I591" s="9" t="str">
        <f t="shared" si="1"/>
        <v/>
      </c>
      <c r="J591" s="9" t="str">
        <f t="shared" si="2"/>
        <v>#REF!</v>
      </c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12">
        <v>590.0</v>
      </c>
      <c r="B592" s="13"/>
      <c r="C592" s="9" t="str">
        <f t="array" ref="C592">IFERROR(INDEX(Data!F:F, MATCH($E592, Data!$B:$B, 0)), "")</f>
        <v/>
      </c>
      <c r="D592" s="9" t="str">
        <f t="array" ref="D592">IFERROR(INDEX(Data!A:A, MATCH($E592, Data!$B:$B, 0)), "")</f>
        <v/>
      </c>
      <c r="E592" s="9" t="str">
        <f>LARGE(Data!$B$2:$B1000,A592 )</f>
        <v>#NUM!</v>
      </c>
      <c r="F592" s="9" t="str">
        <f t="array" ref="F592">IFERROR(INDEX(Data!C:C, MATCH($E592, Data!$B:$B, 0)), "")</f>
        <v/>
      </c>
      <c r="G592" s="9" t="str">
        <f t="array" ref="G592">IFERROR(INDEX(Data!D:D, MATCH($E592, Data!$B:$B, 0)), "")</f>
        <v/>
      </c>
      <c r="H592" s="9" t="str">
        <f t="array" ref="H592">IFERROR(INDEX(Data!E:E, MATCH($E592, Data!$B:$B, 0)), "")</f>
        <v/>
      </c>
      <c r="I592" s="9" t="str">
        <f t="shared" si="1"/>
        <v/>
      </c>
      <c r="J592" s="9" t="str">
        <f t="shared" si="2"/>
        <v>#REF!</v>
      </c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12">
        <v>591.0</v>
      </c>
      <c r="B593" s="13"/>
      <c r="C593" s="9" t="str">
        <f t="array" ref="C593">IFERROR(INDEX(Data!F:F, MATCH($E593, Data!$B:$B, 0)), "")</f>
        <v/>
      </c>
      <c r="D593" s="9" t="str">
        <f t="array" ref="D593">IFERROR(INDEX(Data!A:A, MATCH($E593, Data!$B:$B, 0)), "")</f>
        <v/>
      </c>
      <c r="E593" s="9" t="str">
        <f>LARGE(Data!$B$2:$B1000,A593 )</f>
        <v>#NUM!</v>
      </c>
      <c r="F593" s="9" t="str">
        <f t="array" ref="F593">IFERROR(INDEX(Data!C:C, MATCH($E593, Data!$B:$B, 0)), "")</f>
        <v/>
      </c>
      <c r="G593" s="9" t="str">
        <f t="array" ref="G593">IFERROR(INDEX(Data!D:D, MATCH($E593, Data!$B:$B, 0)), "")</f>
        <v/>
      </c>
      <c r="H593" s="9" t="str">
        <f t="array" ref="H593">IFERROR(INDEX(Data!E:E, MATCH($E593, Data!$B:$B, 0)), "")</f>
        <v/>
      </c>
      <c r="I593" s="9" t="str">
        <f t="shared" si="1"/>
        <v/>
      </c>
      <c r="J593" s="9" t="str">
        <f t="shared" si="2"/>
        <v>#REF!</v>
      </c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12">
        <v>592.0</v>
      </c>
      <c r="B594" s="13"/>
      <c r="C594" s="9" t="str">
        <f t="array" ref="C594">IFERROR(INDEX(Data!F:F, MATCH($E594, Data!$B:$B, 0)), "")</f>
        <v/>
      </c>
      <c r="D594" s="9" t="str">
        <f t="array" ref="D594">IFERROR(INDEX(Data!A:A, MATCH($E594, Data!$B:$B, 0)), "")</f>
        <v/>
      </c>
      <c r="E594" s="9" t="str">
        <f>LARGE(Data!$B$2:$B1000,A594 )</f>
        <v>#NUM!</v>
      </c>
      <c r="F594" s="9" t="str">
        <f t="array" ref="F594">IFERROR(INDEX(Data!C:C, MATCH($E594, Data!$B:$B, 0)), "")</f>
        <v/>
      </c>
      <c r="G594" s="9" t="str">
        <f t="array" ref="G594">IFERROR(INDEX(Data!D:D, MATCH($E594, Data!$B:$B, 0)), "")</f>
        <v/>
      </c>
      <c r="H594" s="9" t="str">
        <f t="array" ref="H594">IFERROR(INDEX(Data!E:E, MATCH($E594, Data!$B:$B, 0)), "")</f>
        <v/>
      </c>
      <c r="I594" s="9" t="str">
        <f t="shared" si="1"/>
        <v/>
      </c>
      <c r="J594" s="9" t="str">
        <f t="shared" si="2"/>
        <v>#REF!</v>
      </c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12">
        <v>593.0</v>
      </c>
      <c r="B595" s="13"/>
      <c r="C595" s="9" t="str">
        <f t="array" ref="C595">IFERROR(INDEX(Data!F:F, MATCH($E595, Data!$B:$B, 0)), "")</f>
        <v/>
      </c>
      <c r="D595" s="9" t="str">
        <f t="array" ref="D595">IFERROR(INDEX(Data!A:A, MATCH($E595, Data!$B:$B, 0)), "")</f>
        <v/>
      </c>
      <c r="E595" s="9" t="str">
        <f>LARGE(Data!$B$2:$B1000,A595 )</f>
        <v>#NUM!</v>
      </c>
      <c r="F595" s="9" t="str">
        <f t="array" ref="F595">IFERROR(INDEX(Data!C:C, MATCH($E595, Data!$B:$B, 0)), "")</f>
        <v/>
      </c>
      <c r="G595" s="9" t="str">
        <f t="array" ref="G595">IFERROR(INDEX(Data!D:D, MATCH($E595, Data!$B:$B, 0)), "")</f>
        <v/>
      </c>
      <c r="H595" s="9" t="str">
        <f t="array" ref="H595">IFERROR(INDEX(Data!E:E, MATCH($E595, Data!$B:$B, 0)), "")</f>
        <v/>
      </c>
      <c r="I595" s="9" t="str">
        <f t="shared" si="1"/>
        <v/>
      </c>
      <c r="J595" s="9" t="str">
        <f t="shared" si="2"/>
        <v>#REF!</v>
      </c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12">
        <v>594.0</v>
      </c>
      <c r="B596" s="13"/>
      <c r="C596" s="9" t="str">
        <f t="array" ref="C596">IFERROR(INDEX(Data!F:F, MATCH($E596, Data!$B:$B, 0)), "")</f>
        <v/>
      </c>
      <c r="D596" s="9" t="str">
        <f t="array" ref="D596">IFERROR(INDEX(Data!A:A, MATCH($E596, Data!$B:$B, 0)), "")</f>
        <v/>
      </c>
      <c r="E596" s="9" t="str">
        <f>LARGE(Data!$B$2:$B1000,A596 )</f>
        <v>#NUM!</v>
      </c>
      <c r="F596" s="9" t="str">
        <f t="array" ref="F596">IFERROR(INDEX(Data!C:C, MATCH($E596, Data!$B:$B, 0)), "")</f>
        <v/>
      </c>
      <c r="G596" s="9" t="str">
        <f t="array" ref="G596">IFERROR(INDEX(Data!D:D, MATCH($E596, Data!$B:$B, 0)), "")</f>
        <v/>
      </c>
      <c r="H596" s="9" t="str">
        <f t="array" ref="H596">IFERROR(INDEX(Data!E:E, MATCH($E596, Data!$B:$B, 0)), "")</f>
        <v/>
      </c>
      <c r="I596" s="9" t="str">
        <f t="shared" si="1"/>
        <v/>
      </c>
      <c r="J596" s="9" t="str">
        <f t="shared" si="2"/>
        <v>#REF!</v>
      </c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12">
        <v>595.0</v>
      </c>
      <c r="B597" s="13"/>
      <c r="C597" s="9" t="str">
        <f t="array" ref="C597">IFERROR(INDEX(Data!F:F, MATCH($E597, Data!$B:$B, 0)), "")</f>
        <v/>
      </c>
      <c r="D597" s="9" t="str">
        <f t="array" ref="D597">IFERROR(INDEX(Data!A:A, MATCH($E597, Data!$B:$B, 0)), "")</f>
        <v/>
      </c>
      <c r="E597" s="9" t="str">
        <f>LARGE(Data!$B$2:$B1000,A597 )</f>
        <v>#NUM!</v>
      </c>
      <c r="F597" s="9" t="str">
        <f t="array" ref="F597">IFERROR(INDEX(Data!C:C, MATCH($E597, Data!$B:$B, 0)), "")</f>
        <v/>
      </c>
      <c r="G597" s="9" t="str">
        <f t="array" ref="G597">IFERROR(INDEX(Data!D:D, MATCH($E597, Data!$B:$B, 0)), "")</f>
        <v/>
      </c>
      <c r="H597" s="9" t="str">
        <f t="array" ref="H597">IFERROR(INDEX(Data!E:E, MATCH($E597, Data!$B:$B, 0)), "")</f>
        <v/>
      </c>
      <c r="I597" s="9" t="str">
        <f t="shared" si="1"/>
        <v/>
      </c>
      <c r="J597" s="9" t="str">
        <f t="shared" si="2"/>
        <v>#REF!</v>
      </c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12">
        <v>596.0</v>
      </c>
      <c r="B598" s="13"/>
      <c r="C598" s="9" t="str">
        <f t="array" ref="C598">IFERROR(INDEX(Data!F:F, MATCH($E598, Data!$B:$B, 0)), "")</f>
        <v/>
      </c>
      <c r="D598" s="9" t="str">
        <f t="array" ref="D598">IFERROR(INDEX(Data!A:A, MATCH($E598, Data!$B:$B, 0)), "")</f>
        <v/>
      </c>
      <c r="E598" s="9" t="str">
        <f>LARGE(Data!$B$2:$B1000,A598 )</f>
        <v>#NUM!</v>
      </c>
      <c r="F598" s="9" t="str">
        <f t="array" ref="F598">IFERROR(INDEX(Data!C:C, MATCH($E598, Data!$B:$B, 0)), "")</f>
        <v/>
      </c>
      <c r="G598" s="9" t="str">
        <f t="array" ref="G598">IFERROR(INDEX(Data!D:D, MATCH($E598, Data!$B:$B, 0)), "")</f>
        <v/>
      </c>
      <c r="H598" s="9" t="str">
        <f t="array" ref="H598">IFERROR(INDEX(Data!E:E, MATCH($E598, Data!$B:$B, 0)), "")</f>
        <v/>
      </c>
      <c r="I598" s="9" t="str">
        <f t="shared" si="1"/>
        <v/>
      </c>
      <c r="J598" s="9" t="str">
        <f t="shared" si="2"/>
        <v>#REF!</v>
      </c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12">
        <v>597.0</v>
      </c>
      <c r="B599" s="13"/>
      <c r="C599" s="9" t="str">
        <f t="array" ref="C599">IFERROR(INDEX(Data!F:F, MATCH($E599, Data!$B:$B, 0)), "")</f>
        <v/>
      </c>
      <c r="D599" s="9" t="str">
        <f t="array" ref="D599">IFERROR(INDEX(Data!A:A, MATCH($E599, Data!$B:$B, 0)), "")</f>
        <v/>
      </c>
      <c r="E599" s="9" t="str">
        <f>LARGE(Data!$B$2:$B1000,A599 )</f>
        <v>#NUM!</v>
      </c>
      <c r="F599" s="9" t="str">
        <f t="array" ref="F599">IFERROR(INDEX(Data!C:C, MATCH($E599, Data!$B:$B, 0)), "")</f>
        <v/>
      </c>
      <c r="G599" s="9" t="str">
        <f t="array" ref="G599">IFERROR(INDEX(Data!D:D, MATCH($E599, Data!$B:$B, 0)), "")</f>
        <v/>
      </c>
      <c r="H599" s="9" t="str">
        <f t="array" ref="H599">IFERROR(INDEX(Data!E:E, MATCH($E599, Data!$B:$B, 0)), "")</f>
        <v/>
      </c>
      <c r="I599" s="9" t="str">
        <f t="shared" si="1"/>
        <v/>
      </c>
      <c r="J599" s="9" t="str">
        <f t="shared" si="2"/>
        <v>#REF!</v>
      </c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12">
        <v>598.0</v>
      </c>
      <c r="B600" s="13"/>
      <c r="C600" s="9" t="str">
        <f t="array" ref="C600">IFERROR(INDEX(Data!F:F, MATCH($E600, Data!$B:$B, 0)), "")</f>
        <v/>
      </c>
      <c r="D600" s="9" t="str">
        <f t="array" ref="D600">IFERROR(INDEX(Data!A:A, MATCH($E600, Data!$B:$B, 0)), "")</f>
        <v/>
      </c>
      <c r="E600" s="9" t="str">
        <f>LARGE(Data!$B$2:$B1000,A600 )</f>
        <v>#NUM!</v>
      </c>
      <c r="F600" s="9" t="str">
        <f t="array" ref="F600">IFERROR(INDEX(Data!C:C, MATCH($E600, Data!$B:$B, 0)), "")</f>
        <v/>
      </c>
      <c r="G600" s="9" t="str">
        <f t="array" ref="G600">IFERROR(INDEX(Data!D:D, MATCH($E600, Data!$B:$B, 0)), "")</f>
        <v/>
      </c>
      <c r="H600" s="9" t="str">
        <f t="array" ref="H600">IFERROR(INDEX(Data!E:E, MATCH($E600, Data!$B:$B, 0)), "")</f>
        <v/>
      </c>
      <c r="I600" s="9" t="str">
        <f t="shared" si="1"/>
        <v/>
      </c>
      <c r="J600" s="9" t="str">
        <f t="shared" si="2"/>
        <v>#REF!</v>
      </c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12">
        <v>599.0</v>
      </c>
      <c r="B601" s="13"/>
      <c r="C601" s="9" t="str">
        <f t="array" ref="C601">IFERROR(INDEX(Data!F:F, MATCH($E601, Data!$B:$B, 0)), "")</f>
        <v/>
      </c>
      <c r="D601" s="9" t="str">
        <f t="array" ref="D601">IFERROR(INDEX(Data!A:A, MATCH($E601, Data!$B:$B, 0)), "")</f>
        <v/>
      </c>
      <c r="E601" s="9" t="str">
        <f>LARGE(Data!$B$2:$B1000,A601 )</f>
        <v>#NUM!</v>
      </c>
      <c r="F601" s="9" t="str">
        <f t="array" ref="F601">IFERROR(INDEX(Data!C:C, MATCH($E601, Data!$B:$B, 0)), "")</f>
        <v/>
      </c>
      <c r="G601" s="9" t="str">
        <f t="array" ref="G601">IFERROR(INDEX(Data!D:D, MATCH($E601, Data!$B:$B, 0)), "")</f>
        <v/>
      </c>
      <c r="H601" s="9" t="str">
        <f t="array" ref="H601">IFERROR(INDEX(Data!E:E, MATCH($E601, Data!$B:$B, 0)), "")</f>
        <v/>
      </c>
      <c r="I601" s="9" t="str">
        <f t="shared" si="1"/>
        <v/>
      </c>
      <c r="J601" s="9" t="str">
        <f t="shared" si="2"/>
        <v>#REF!</v>
      </c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12">
        <v>600.0</v>
      </c>
      <c r="B602" s="13"/>
      <c r="C602" s="9" t="str">
        <f t="array" ref="C602">IFERROR(INDEX(Data!F:F, MATCH($E602, Data!$B:$B, 0)), "")</f>
        <v/>
      </c>
      <c r="D602" s="9" t="str">
        <f t="array" ref="D602">IFERROR(INDEX(Data!A:A, MATCH($E602, Data!$B:$B, 0)), "")</f>
        <v/>
      </c>
      <c r="E602" s="9" t="str">
        <f>LARGE(Data!$B$2:$B1000,A602 )</f>
        <v>#NUM!</v>
      </c>
      <c r="F602" s="9" t="str">
        <f t="array" ref="F602">IFERROR(INDEX(Data!C:C, MATCH($E602, Data!$B:$B, 0)), "")</f>
        <v/>
      </c>
      <c r="G602" s="9" t="str">
        <f t="array" ref="G602">IFERROR(INDEX(Data!D:D, MATCH($E602, Data!$B:$B, 0)), "")</f>
        <v/>
      </c>
      <c r="H602" s="9" t="str">
        <f t="array" ref="H602">IFERROR(INDEX(Data!E:E, MATCH($E602, Data!$B:$B, 0)), "")</f>
        <v/>
      </c>
      <c r="I602" s="9" t="str">
        <f t="shared" si="1"/>
        <v/>
      </c>
      <c r="J602" s="9" t="str">
        <f t="shared" si="2"/>
        <v>#REF!</v>
      </c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12">
        <v>601.0</v>
      </c>
      <c r="B603" s="13"/>
      <c r="C603" s="9" t="str">
        <f t="array" ref="C603">IFERROR(INDEX(Data!F:F, MATCH($E603, Data!$B:$B, 0)), "")</f>
        <v/>
      </c>
      <c r="D603" s="9" t="str">
        <f t="array" ref="D603">IFERROR(INDEX(Data!A:A, MATCH($E603, Data!$B:$B, 0)), "")</f>
        <v/>
      </c>
      <c r="E603" s="9" t="str">
        <f>LARGE(Data!$B$2:$B1000,A603 )</f>
        <v>#NUM!</v>
      </c>
      <c r="F603" s="9" t="str">
        <f t="array" ref="F603">IFERROR(INDEX(Data!C:C, MATCH($E603, Data!$B:$B, 0)), "")</f>
        <v/>
      </c>
      <c r="G603" s="9" t="str">
        <f t="array" ref="G603">IFERROR(INDEX(Data!D:D, MATCH($E603, Data!$B:$B, 0)), "")</f>
        <v/>
      </c>
      <c r="H603" s="9" t="str">
        <f t="array" ref="H603">IFERROR(INDEX(Data!E:E, MATCH($E603, Data!$B:$B, 0)), "")</f>
        <v/>
      </c>
      <c r="I603" s="9" t="str">
        <f t="shared" si="1"/>
        <v/>
      </c>
      <c r="J603" s="9" t="str">
        <f t="shared" si="2"/>
        <v>#REF!</v>
      </c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12">
        <v>602.0</v>
      </c>
      <c r="B604" s="13"/>
      <c r="C604" s="9" t="str">
        <f t="array" ref="C604">IFERROR(INDEX(Data!F:F, MATCH($E604, Data!$B:$B, 0)), "")</f>
        <v/>
      </c>
      <c r="D604" s="9" t="str">
        <f t="array" ref="D604">IFERROR(INDEX(Data!A:A, MATCH($E604, Data!$B:$B, 0)), "")</f>
        <v/>
      </c>
      <c r="E604" s="9" t="str">
        <f>LARGE(Data!$B$2:$B1000,A604 )</f>
        <v>#NUM!</v>
      </c>
      <c r="F604" s="9" t="str">
        <f t="array" ref="F604">IFERROR(INDEX(Data!C:C, MATCH($E604, Data!$B:$B, 0)), "")</f>
        <v/>
      </c>
      <c r="G604" s="9" t="str">
        <f t="array" ref="G604">IFERROR(INDEX(Data!D:D, MATCH($E604, Data!$B:$B, 0)), "")</f>
        <v/>
      </c>
      <c r="H604" s="9" t="str">
        <f t="array" ref="H604">IFERROR(INDEX(Data!E:E, MATCH($E604, Data!$B:$B, 0)), "")</f>
        <v/>
      </c>
      <c r="I604" s="9" t="str">
        <f t="shared" si="1"/>
        <v/>
      </c>
      <c r="J604" s="9" t="str">
        <f t="shared" si="2"/>
        <v>#REF!</v>
      </c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12">
        <v>603.0</v>
      </c>
      <c r="B605" s="13"/>
      <c r="C605" s="9" t="str">
        <f t="array" ref="C605">IFERROR(INDEX(Data!F:F, MATCH($E605, Data!$B:$B, 0)), "")</f>
        <v/>
      </c>
      <c r="D605" s="9" t="str">
        <f t="array" ref="D605">IFERROR(INDEX(Data!A:A, MATCH($E605, Data!$B:$B, 0)), "")</f>
        <v/>
      </c>
      <c r="E605" s="9" t="str">
        <f>LARGE(Data!$B$2:$B1000,A605 )</f>
        <v>#NUM!</v>
      </c>
      <c r="F605" s="9" t="str">
        <f t="array" ref="F605">IFERROR(INDEX(Data!C:C, MATCH($E605, Data!$B:$B, 0)), "")</f>
        <v/>
      </c>
      <c r="G605" s="9" t="str">
        <f t="array" ref="G605">IFERROR(INDEX(Data!D:D, MATCH($E605, Data!$B:$B, 0)), "")</f>
        <v/>
      </c>
      <c r="H605" s="9" t="str">
        <f t="array" ref="H605">IFERROR(INDEX(Data!E:E, MATCH($E605, Data!$B:$B, 0)), "")</f>
        <v/>
      </c>
      <c r="I605" s="9" t="str">
        <f t="shared" si="1"/>
        <v/>
      </c>
      <c r="J605" s="9" t="str">
        <f t="shared" si="2"/>
        <v>#REF!</v>
      </c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12">
        <v>604.0</v>
      </c>
      <c r="B606" s="13"/>
      <c r="C606" s="9" t="str">
        <f t="array" ref="C606">IFERROR(INDEX(Data!F:F, MATCH($E606, Data!$B:$B, 0)), "")</f>
        <v/>
      </c>
      <c r="D606" s="9" t="str">
        <f t="array" ref="D606">IFERROR(INDEX(Data!A:A, MATCH($E606, Data!$B:$B, 0)), "")</f>
        <v/>
      </c>
      <c r="E606" s="9" t="str">
        <f>LARGE(Data!$B$2:$B1000,A606 )</f>
        <v>#NUM!</v>
      </c>
      <c r="F606" s="9" t="str">
        <f t="array" ref="F606">IFERROR(INDEX(Data!C:C, MATCH($E606, Data!$B:$B, 0)), "")</f>
        <v/>
      </c>
      <c r="G606" s="9" t="str">
        <f t="array" ref="G606">IFERROR(INDEX(Data!D:D, MATCH($E606, Data!$B:$B, 0)), "")</f>
        <v/>
      </c>
      <c r="H606" s="9" t="str">
        <f t="array" ref="H606">IFERROR(INDEX(Data!E:E, MATCH($E606, Data!$B:$B, 0)), "")</f>
        <v/>
      </c>
      <c r="I606" s="9" t="str">
        <f t="shared" si="1"/>
        <v/>
      </c>
      <c r="J606" s="9" t="str">
        <f t="shared" si="2"/>
        <v>#REF!</v>
      </c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12">
        <v>605.0</v>
      </c>
      <c r="B607" s="13"/>
      <c r="C607" s="9" t="str">
        <f t="array" ref="C607">IFERROR(INDEX(Data!F:F, MATCH($E607, Data!$B:$B, 0)), "")</f>
        <v/>
      </c>
      <c r="D607" s="9" t="str">
        <f t="array" ref="D607">IFERROR(INDEX(Data!A:A, MATCH($E607, Data!$B:$B, 0)), "")</f>
        <v/>
      </c>
      <c r="E607" s="9" t="str">
        <f>LARGE(Data!$B$2:$B1000,A607 )</f>
        <v>#NUM!</v>
      </c>
      <c r="F607" s="9" t="str">
        <f t="array" ref="F607">IFERROR(INDEX(Data!C:C, MATCH($E607, Data!$B:$B, 0)), "")</f>
        <v/>
      </c>
      <c r="G607" s="9" t="str">
        <f t="array" ref="G607">IFERROR(INDEX(Data!D:D, MATCH($E607, Data!$B:$B, 0)), "")</f>
        <v/>
      </c>
      <c r="H607" s="9" t="str">
        <f t="array" ref="H607">IFERROR(INDEX(Data!E:E, MATCH($E607, Data!$B:$B, 0)), "")</f>
        <v/>
      </c>
      <c r="I607" s="9" t="str">
        <f t="shared" si="1"/>
        <v/>
      </c>
      <c r="J607" s="9" t="str">
        <f t="shared" si="2"/>
        <v>#REF!</v>
      </c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12">
        <v>606.0</v>
      </c>
      <c r="B608" s="13"/>
      <c r="C608" s="9" t="str">
        <f t="array" ref="C608">IFERROR(INDEX(Data!F:F, MATCH($E608, Data!$B:$B, 0)), "")</f>
        <v/>
      </c>
      <c r="D608" s="9" t="str">
        <f t="array" ref="D608">IFERROR(INDEX(Data!A:A, MATCH($E608, Data!$B:$B, 0)), "")</f>
        <v/>
      </c>
      <c r="E608" s="9" t="str">
        <f>LARGE(Data!$B$2:$B1000,A608 )</f>
        <v>#NUM!</v>
      </c>
      <c r="F608" s="9" t="str">
        <f t="array" ref="F608">IFERROR(INDEX(Data!C:C, MATCH($E608, Data!$B:$B, 0)), "")</f>
        <v/>
      </c>
      <c r="G608" s="9" t="str">
        <f t="array" ref="G608">IFERROR(INDEX(Data!D:D, MATCH($E608, Data!$B:$B, 0)), "")</f>
        <v/>
      </c>
      <c r="H608" s="9" t="str">
        <f t="array" ref="H608">IFERROR(INDEX(Data!E:E, MATCH($E608, Data!$B:$B, 0)), "")</f>
        <v/>
      </c>
      <c r="I608" s="9" t="str">
        <f t="shared" si="1"/>
        <v/>
      </c>
      <c r="J608" s="9" t="str">
        <f t="shared" si="2"/>
        <v>#REF!</v>
      </c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12">
        <v>607.0</v>
      </c>
      <c r="B609" s="13"/>
      <c r="C609" s="9" t="str">
        <f t="array" ref="C609">IFERROR(INDEX(Data!F:F, MATCH($E609, Data!$B:$B, 0)), "")</f>
        <v/>
      </c>
      <c r="D609" s="9" t="str">
        <f t="array" ref="D609">IFERROR(INDEX(Data!A:A, MATCH($E609, Data!$B:$B, 0)), "")</f>
        <v/>
      </c>
      <c r="E609" s="9" t="str">
        <f>LARGE(Data!$B$2:$B1000,A609 )</f>
        <v>#NUM!</v>
      </c>
      <c r="F609" s="9" t="str">
        <f t="array" ref="F609">IFERROR(INDEX(Data!C:C, MATCH($E609, Data!$B:$B, 0)), "")</f>
        <v/>
      </c>
      <c r="G609" s="9" t="str">
        <f t="array" ref="G609">IFERROR(INDEX(Data!D:D, MATCH($E609, Data!$B:$B, 0)), "")</f>
        <v/>
      </c>
      <c r="H609" s="9" t="str">
        <f t="array" ref="H609">IFERROR(INDEX(Data!E:E, MATCH($E609, Data!$B:$B, 0)), "")</f>
        <v/>
      </c>
      <c r="I609" s="9" t="str">
        <f t="shared" si="1"/>
        <v/>
      </c>
      <c r="J609" s="9" t="str">
        <f t="shared" si="2"/>
        <v>#REF!</v>
      </c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12">
        <v>608.0</v>
      </c>
      <c r="B610" s="13"/>
      <c r="C610" s="9" t="str">
        <f t="array" ref="C610">IFERROR(INDEX(Data!F:F, MATCH($E610, Data!$B:$B, 0)), "")</f>
        <v/>
      </c>
      <c r="D610" s="9" t="str">
        <f t="array" ref="D610">IFERROR(INDEX(Data!A:A, MATCH($E610, Data!$B:$B, 0)), "")</f>
        <v/>
      </c>
      <c r="E610" s="9" t="str">
        <f>LARGE(Data!$B$2:$B1000,A610 )</f>
        <v>#NUM!</v>
      </c>
      <c r="F610" s="9" t="str">
        <f t="array" ref="F610">IFERROR(INDEX(Data!C:C, MATCH($E610, Data!$B:$B, 0)), "")</f>
        <v/>
      </c>
      <c r="G610" s="9" t="str">
        <f t="array" ref="G610">IFERROR(INDEX(Data!D:D, MATCH($E610, Data!$B:$B, 0)), "")</f>
        <v/>
      </c>
      <c r="H610" s="9" t="str">
        <f t="array" ref="H610">IFERROR(INDEX(Data!E:E, MATCH($E610, Data!$B:$B, 0)), "")</f>
        <v/>
      </c>
      <c r="I610" s="9" t="str">
        <f t="shared" si="1"/>
        <v/>
      </c>
      <c r="J610" s="9" t="str">
        <f t="shared" si="2"/>
        <v>#REF!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12">
        <v>609.0</v>
      </c>
      <c r="B611" s="13"/>
      <c r="C611" s="9" t="str">
        <f t="array" ref="C611">IFERROR(INDEX(Data!F:F, MATCH($E611, Data!$B:$B, 0)), "")</f>
        <v/>
      </c>
      <c r="D611" s="9" t="str">
        <f t="array" ref="D611">IFERROR(INDEX(Data!A:A, MATCH($E611, Data!$B:$B, 0)), "")</f>
        <v/>
      </c>
      <c r="E611" s="9" t="str">
        <f>LARGE(Data!$B$2:$B1000,A611 )</f>
        <v>#NUM!</v>
      </c>
      <c r="F611" s="9" t="str">
        <f t="array" ref="F611">IFERROR(INDEX(Data!C:C, MATCH($E611, Data!$B:$B, 0)), "")</f>
        <v/>
      </c>
      <c r="G611" s="9" t="str">
        <f t="array" ref="G611">IFERROR(INDEX(Data!D:D, MATCH($E611, Data!$B:$B, 0)), "")</f>
        <v/>
      </c>
      <c r="H611" s="9" t="str">
        <f t="array" ref="H611">IFERROR(INDEX(Data!E:E, MATCH($E611, Data!$B:$B, 0)), "")</f>
        <v/>
      </c>
      <c r="I611" s="9" t="str">
        <f t="shared" si="1"/>
        <v/>
      </c>
      <c r="J611" s="9" t="str">
        <f t="shared" si="2"/>
        <v>#REF!</v>
      </c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12">
        <v>610.0</v>
      </c>
      <c r="B612" s="13"/>
      <c r="C612" s="9" t="str">
        <f t="array" ref="C612">IFERROR(INDEX(Data!F:F, MATCH($E612, Data!$B:$B, 0)), "")</f>
        <v/>
      </c>
      <c r="D612" s="9" t="str">
        <f t="array" ref="D612">IFERROR(INDEX(Data!A:A, MATCH($E612, Data!$B:$B, 0)), "")</f>
        <v/>
      </c>
      <c r="E612" s="9" t="str">
        <f>LARGE(Data!$B$2:$B1000,A612 )</f>
        <v>#NUM!</v>
      </c>
      <c r="F612" s="9" t="str">
        <f t="array" ref="F612">IFERROR(INDEX(Data!C:C, MATCH($E612, Data!$B:$B, 0)), "")</f>
        <v/>
      </c>
      <c r="G612" s="9" t="str">
        <f t="array" ref="G612">IFERROR(INDEX(Data!D:D, MATCH($E612, Data!$B:$B, 0)), "")</f>
        <v/>
      </c>
      <c r="H612" s="9" t="str">
        <f t="array" ref="H612">IFERROR(INDEX(Data!E:E, MATCH($E612, Data!$B:$B, 0)), "")</f>
        <v/>
      </c>
      <c r="I612" s="9" t="str">
        <f t="shared" si="1"/>
        <v/>
      </c>
      <c r="J612" s="9" t="str">
        <f t="shared" si="2"/>
        <v>#REF!</v>
      </c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12">
        <v>611.0</v>
      </c>
      <c r="B613" s="13"/>
      <c r="C613" s="9" t="str">
        <f t="array" ref="C613">IFERROR(INDEX(Data!F:F, MATCH($E613, Data!$B:$B, 0)), "")</f>
        <v/>
      </c>
      <c r="D613" s="9" t="str">
        <f t="array" ref="D613">IFERROR(INDEX(Data!A:A, MATCH($E613, Data!$B:$B, 0)), "")</f>
        <v/>
      </c>
      <c r="E613" s="9" t="str">
        <f>LARGE(Data!$B$2:$B1000,A613 )</f>
        <v>#NUM!</v>
      </c>
      <c r="F613" s="9" t="str">
        <f t="array" ref="F613">IFERROR(INDEX(Data!C:C, MATCH($E613, Data!$B:$B, 0)), "")</f>
        <v/>
      </c>
      <c r="G613" s="9" t="str">
        <f t="array" ref="G613">IFERROR(INDEX(Data!D:D, MATCH($E613, Data!$B:$B, 0)), "")</f>
        <v/>
      </c>
      <c r="H613" s="9" t="str">
        <f t="array" ref="H613">IFERROR(INDEX(Data!E:E, MATCH($E613, Data!$B:$B, 0)), "")</f>
        <v/>
      </c>
      <c r="I613" s="9" t="str">
        <f t="shared" si="1"/>
        <v/>
      </c>
      <c r="J613" s="9" t="str">
        <f t="shared" si="2"/>
        <v>#REF!</v>
      </c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12">
        <v>612.0</v>
      </c>
      <c r="B614" s="13"/>
      <c r="C614" s="9" t="str">
        <f t="array" ref="C614">IFERROR(INDEX(Data!F:F, MATCH($E614, Data!$B:$B, 0)), "")</f>
        <v/>
      </c>
      <c r="D614" s="9" t="str">
        <f t="array" ref="D614">IFERROR(INDEX(Data!A:A, MATCH($E614, Data!$B:$B, 0)), "")</f>
        <v/>
      </c>
      <c r="E614" s="9" t="str">
        <f>LARGE(Data!$B$2:$B1000,A614 )</f>
        <v>#NUM!</v>
      </c>
      <c r="F614" s="9" t="str">
        <f t="array" ref="F614">IFERROR(INDEX(Data!C:C, MATCH($E614, Data!$B:$B, 0)), "")</f>
        <v/>
      </c>
      <c r="G614" s="9" t="str">
        <f t="array" ref="G614">IFERROR(INDEX(Data!D:D, MATCH($E614, Data!$B:$B, 0)), "")</f>
        <v/>
      </c>
      <c r="H614" s="9" t="str">
        <f t="array" ref="H614">IFERROR(INDEX(Data!E:E, MATCH($E614, Data!$B:$B, 0)), "")</f>
        <v/>
      </c>
      <c r="I614" s="9" t="str">
        <f t="shared" si="1"/>
        <v/>
      </c>
      <c r="J614" s="9" t="str">
        <f t="shared" si="2"/>
        <v>#REF!</v>
      </c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12">
        <v>613.0</v>
      </c>
      <c r="B615" s="13"/>
      <c r="C615" s="9" t="str">
        <f t="array" ref="C615">IFERROR(INDEX(Data!F:F, MATCH($E615, Data!$B:$B, 0)), "")</f>
        <v/>
      </c>
      <c r="D615" s="9" t="str">
        <f t="array" ref="D615">IFERROR(INDEX(Data!A:A, MATCH($E615, Data!$B:$B, 0)), "")</f>
        <v/>
      </c>
      <c r="E615" s="9" t="str">
        <f>LARGE(Data!$B$2:$B1000,A615 )</f>
        <v>#NUM!</v>
      </c>
      <c r="F615" s="9" t="str">
        <f t="array" ref="F615">IFERROR(INDEX(Data!C:C, MATCH($E615, Data!$B:$B, 0)), "")</f>
        <v/>
      </c>
      <c r="G615" s="9" t="str">
        <f t="array" ref="G615">IFERROR(INDEX(Data!D:D, MATCH($E615, Data!$B:$B, 0)), "")</f>
        <v/>
      </c>
      <c r="H615" s="9" t="str">
        <f t="array" ref="H615">IFERROR(INDEX(Data!E:E, MATCH($E615, Data!$B:$B, 0)), "")</f>
        <v/>
      </c>
      <c r="I615" s="9" t="str">
        <f t="shared" si="1"/>
        <v/>
      </c>
      <c r="J615" s="9" t="str">
        <f t="shared" si="2"/>
        <v>#REF!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12">
        <v>614.0</v>
      </c>
      <c r="B616" s="13"/>
      <c r="C616" s="9" t="str">
        <f t="array" ref="C616">IFERROR(INDEX(Data!F:F, MATCH($E616, Data!$B:$B, 0)), "")</f>
        <v/>
      </c>
      <c r="D616" s="9" t="str">
        <f t="array" ref="D616">IFERROR(INDEX(Data!A:A, MATCH($E616, Data!$B:$B, 0)), "")</f>
        <v/>
      </c>
      <c r="E616" s="9" t="str">
        <f>LARGE(Data!$B$2:$B1000,A616 )</f>
        <v>#NUM!</v>
      </c>
      <c r="F616" s="9" t="str">
        <f t="array" ref="F616">IFERROR(INDEX(Data!C:C, MATCH($E616, Data!$B:$B, 0)), "")</f>
        <v/>
      </c>
      <c r="G616" s="9" t="str">
        <f t="array" ref="G616">IFERROR(INDEX(Data!D:D, MATCH($E616, Data!$B:$B, 0)), "")</f>
        <v/>
      </c>
      <c r="H616" s="9" t="str">
        <f t="array" ref="H616">IFERROR(INDEX(Data!E:E, MATCH($E616, Data!$B:$B, 0)), "")</f>
        <v/>
      </c>
      <c r="I616" s="9" t="str">
        <f t="shared" si="1"/>
        <v/>
      </c>
      <c r="J616" s="9" t="str">
        <f t="shared" si="2"/>
        <v>#REF!</v>
      </c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12">
        <v>615.0</v>
      </c>
      <c r="B617" s="13"/>
      <c r="C617" s="9" t="str">
        <f t="array" ref="C617">IFERROR(INDEX(Data!F:F, MATCH($E617, Data!$B:$B, 0)), "")</f>
        <v/>
      </c>
      <c r="D617" s="9" t="str">
        <f t="array" ref="D617">IFERROR(INDEX(Data!A:A, MATCH($E617, Data!$B:$B, 0)), "")</f>
        <v/>
      </c>
      <c r="E617" s="9" t="str">
        <f>LARGE(Data!$B$2:$B1000,A617 )</f>
        <v>#NUM!</v>
      </c>
      <c r="F617" s="9" t="str">
        <f t="array" ref="F617">IFERROR(INDEX(Data!C:C, MATCH($E617, Data!$B:$B, 0)), "")</f>
        <v/>
      </c>
      <c r="G617" s="9" t="str">
        <f t="array" ref="G617">IFERROR(INDEX(Data!D:D, MATCH($E617, Data!$B:$B, 0)), "")</f>
        <v/>
      </c>
      <c r="H617" s="9" t="str">
        <f t="array" ref="H617">IFERROR(INDEX(Data!E:E, MATCH($E617, Data!$B:$B, 0)), "")</f>
        <v/>
      </c>
      <c r="I617" s="9" t="str">
        <f t="shared" si="1"/>
        <v/>
      </c>
      <c r="J617" s="9" t="str">
        <f t="shared" si="2"/>
        <v>#REF!</v>
      </c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12">
        <v>616.0</v>
      </c>
      <c r="B618" s="13"/>
      <c r="C618" s="9" t="str">
        <f t="array" ref="C618">IFERROR(INDEX(Data!F:F, MATCH($E618, Data!$B:$B, 0)), "")</f>
        <v/>
      </c>
      <c r="D618" s="9" t="str">
        <f t="array" ref="D618">IFERROR(INDEX(Data!A:A, MATCH($E618, Data!$B:$B, 0)), "")</f>
        <v/>
      </c>
      <c r="E618" s="9" t="str">
        <f>LARGE(Data!$B$2:$B1000,A618 )</f>
        <v>#NUM!</v>
      </c>
      <c r="F618" s="9" t="str">
        <f t="array" ref="F618">IFERROR(INDEX(Data!C:C, MATCH($E618, Data!$B:$B, 0)), "")</f>
        <v/>
      </c>
      <c r="G618" s="9" t="str">
        <f t="array" ref="G618">IFERROR(INDEX(Data!D:D, MATCH($E618, Data!$B:$B, 0)), "")</f>
        <v/>
      </c>
      <c r="H618" s="9" t="str">
        <f t="array" ref="H618">IFERROR(INDEX(Data!E:E, MATCH($E618, Data!$B:$B, 0)), "")</f>
        <v/>
      </c>
      <c r="I618" s="9" t="str">
        <f t="shared" si="1"/>
        <v/>
      </c>
      <c r="J618" s="9" t="str">
        <f t="shared" si="2"/>
        <v>#REF!</v>
      </c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12">
        <v>617.0</v>
      </c>
      <c r="B619" s="13"/>
      <c r="C619" s="9" t="str">
        <f t="array" ref="C619">IFERROR(INDEX(Data!F:F, MATCH($E619, Data!$B:$B, 0)), "")</f>
        <v/>
      </c>
      <c r="D619" s="9" t="str">
        <f t="array" ref="D619">IFERROR(INDEX(Data!A:A, MATCH($E619, Data!$B:$B, 0)), "")</f>
        <v/>
      </c>
      <c r="E619" s="9" t="str">
        <f>LARGE(Data!$B$2:$B1000,A619 )</f>
        <v>#NUM!</v>
      </c>
      <c r="F619" s="9" t="str">
        <f t="array" ref="F619">IFERROR(INDEX(Data!C:C, MATCH($E619, Data!$B:$B, 0)), "")</f>
        <v/>
      </c>
      <c r="G619" s="9" t="str">
        <f t="array" ref="G619">IFERROR(INDEX(Data!D:D, MATCH($E619, Data!$B:$B, 0)), "")</f>
        <v/>
      </c>
      <c r="H619" s="9" t="str">
        <f t="array" ref="H619">IFERROR(INDEX(Data!E:E, MATCH($E619, Data!$B:$B, 0)), "")</f>
        <v/>
      </c>
      <c r="I619" s="9" t="str">
        <f t="shared" si="1"/>
        <v/>
      </c>
      <c r="J619" s="9" t="str">
        <f t="shared" si="2"/>
        <v>#REF!</v>
      </c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12">
        <v>618.0</v>
      </c>
      <c r="B620" s="13"/>
      <c r="C620" s="9" t="str">
        <f t="array" ref="C620">IFERROR(INDEX(Data!F:F, MATCH($E620, Data!$B:$B, 0)), "")</f>
        <v/>
      </c>
      <c r="D620" s="9" t="str">
        <f t="array" ref="D620">IFERROR(INDEX(Data!A:A, MATCH($E620, Data!$B:$B, 0)), "")</f>
        <v/>
      </c>
      <c r="E620" s="9" t="str">
        <f>LARGE(Data!$B$2:$B1000,A620 )</f>
        <v>#NUM!</v>
      </c>
      <c r="F620" s="9" t="str">
        <f t="array" ref="F620">IFERROR(INDEX(Data!C:C, MATCH($E620, Data!$B:$B, 0)), "")</f>
        <v/>
      </c>
      <c r="G620" s="9" t="str">
        <f t="array" ref="G620">IFERROR(INDEX(Data!D:D, MATCH($E620, Data!$B:$B, 0)), "")</f>
        <v/>
      </c>
      <c r="H620" s="9" t="str">
        <f t="array" ref="H620">IFERROR(INDEX(Data!E:E, MATCH($E620, Data!$B:$B, 0)), "")</f>
        <v/>
      </c>
      <c r="I620" s="9" t="str">
        <f t="shared" si="1"/>
        <v/>
      </c>
      <c r="J620" s="9" t="str">
        <f t="shared" si="2"/>
        <v>#REF!</v>
      </c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12">
        <v>619.0</v>
      </c>
      <c r="B621" s="13"/>
      <c r="C621" s="9" t="str">
        <f t="array" ref="C621">IFERROR(INDEX(Data!F:F, MATCH($E621, Data!$B:$B, 0)), "")</f>
        <v/>
      </c>
      <c r="D621" s="9" t="str">
        <f t="array" ref="D621">IFERROR(INDEX(Data!A:A, MATCH($E621, Data!$B:$B, 0)), "")</f>
        <v/>
      </c>
      <c r="E621" s="9" t="str">
        <f>LARGE(Data!$B$2:$B1000,A621 )</f>
        <v>#NUM!</v>
      </c>
      <c r="F621" s="9" t="str">
        <f t="array" ref="F621">IFERROR(INDEX(Data!C:C, MATCH($E621, Data!$B:$B, 0)), "")</f>
        <v/>
      </c>
      <c r="G621" s="9" t="str">
        <f t="array" ref="G621">IFERROR(INDEX(Data!D:D, MATCH($E621, Data!$B:$B, 0)), "")</f>
        <v/>
      </c>
      <c r="H621" s="9" t="str">
        <f t="array" ref="H621">IFERROR(INDEX(Data!E:E, MATCH($E621, Data!$B:$B, 0)), "")</f>
        <v/>
      </c>
      <c r="I621" s="9" t="str">
        <f t="shared" si="1"/>
        <v/>
      </c>
      <c r="J621" s="9" t="str">
        <f t="shared" si="2"/>
        <v>#REF!</v>
      </c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12">
        <v>620.0</v>
      </c>
      <c r="B622" s="13"/>
      <c r="C622" s="9" t="str">
        <f t="array" ref="C622">IFERROR(INDEX(Data!F:F, MATCH($E622, Data!$B:$B, 0)), "")</f>
        <v/>
      </c>
      <c r="D622" s="9" t="str">
        <f t="array" ref="D622">IFERROR(INDEX(Data!A:A, MATCH($E622, Data!$B:$B, 0)), "")</f>
        <v/>
      </c>
      <c r="E622" s="9" t="str">
        <f>LARGE(Data!$B$2:$B1000,A622 )</f>
        <v>#NUM!</v>
      </c>
      <c r="F622" s="9" t="str">
        <f t="array" ref="F622">IFERROR(INDEX(Data!C:C, MATCH($E622, Data!$B:$B, 0)), "")</f>
        <v/>
      </c>
      <c r="G622" s="9" t="str">
        <f t="array" ref="G622">IFERROR(INDEX(Data!D:D, MATCH($E622, Data!$B:$B, 0)), "")</f>
        <v/>
      </c>
      <c r="H622" s="9" t="str">
        <f t="array" ref="H622">IFERROR(INDEX(Data!E:E, MATCH($E622, Data!$B:$B, 0)), "")</f>
        <v/>
      </c>
      <c r="I622" s="9" t="str">
        <f t="shared" si="1"/>
        <v/>
      </c>
      <c r="J622" s="9" t="str">
        <f t="shared" si="2"/>
        <v>#REF!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12">
        <v>621.0</v>
      </c>
      <c r="B623" s="13"/>
      <c r="C623" s="9" t="str">
        <f t="array" ref="C623">IFERROR(INDEX(Data!F:F, MATCH($E623, Data!$B:$B, 0)), "")</f>
        <v/>
      </c>
      <c r="D623" s="9" t="str">
        <f t="array" ref="D623">IFERROR(INDEX(Data!A:A, MATCH($E623, Data!$B:$B, 0)), "")</f>
        <v/>
      </c>
      <c r="E623" s="9" t="str">
        <f>LARGE(Data!$B$2:$B1000,A623 )</f>
        <v>#NUM!</v>
      </c>
      <c r="F623" s="9" t="str">
        <f t="array" ref="F623">IFERROR(INDEX(Data!C:C, MATCH($E623, Data!$B:$B, 0)), "")</f>
        <v/>
      </c>
      <c r="G623" s="9" t="str">
        <f t="array" ref="G623">IFERROR(INDEX(Data!D:D, MATCH($E623, Data!$B:$B, 0)), "")</f>
        <v/>
      </c>
      <c r="H623" s="9" t="str">
        <f t="array" ref="H623">IFERROR(INDEX(Data!E:E, MATCH($E623, Data!$B:$B, 0)), "")</f>
        <v/>
      </c>
      <c r="I623" s="9" t="str">
        <f t="shared" si="1"/>
        <v/>
      </c>
      <c r="J623" s="9" t="str">
        <f t="shared" si="2"/>
        <v>#REF!</v>
      </c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12">
        <v>622.0</v>
      </c>
      <c r="B624" s="13"/>
      <c r="C624" s="9" t="str">
        <f t="array" ref="C624">IFERROR(INDEX(Data!F:F, MATCH($E624, Data!$B:$B, 0)), "")</f>
        <v/>
      </c>
      <c r="D624" s="9" t="str">
        <f t="array" ref="D624">IFERROR(INDEX(Data!A:A, MATCH($E624, Data!$B:$B, 0)), "")</f>
        <v/>
      </c>
      <c r="E624" s="9" t="str">
        <f>LARGE(Data!$B$2:$B1000,A624 )</f>
        <v>#NUM!</v>
      </c>
      <c r="F624" s="9" t="str">
        <f t="array" ref="F624">IFERROR(INDEX(Data!C:C, MATCH($E624, Data!$B:$B, 0)), "")</f>
        <v/>
      </c>
      <c r="G624" s="9" t="str">
        <f t="array" ref="G624">IFERROR(INDEX(Data!D:D, MATCH($E624, Data!$B:$B, 0)), "")</f>
        <v/>
      </c>
      <c r="H624" s="9" t="str">
        <f t="array" ref="H624">IFERROR(INDEX(Data!E:E, MATCH($E624, Data!$B:$B, 0)), "")</f>
        <v/>
      </c>
      <c r="I624" s="9" t="str">
        <f t="shared" si="1"/>
        <v/>
      </c>
      <c r="J624" s="9" t="str">
        <f t="shared" si="2"/>
        <v>#REF!</v>
      </c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12">
        <v>623.0</v>
      </c>
      <c r="B625" s="13"/>
      <c r="C625" s="9" t="str">
        <f t="array" ref="C625">IFERROR(INDEX(Data!F:F, MATCH($E625, Data!$B:$B, 0)), "")</f>
        <v/>
      </c>
      <c r="D625" s="9" t="str">
        <f t="array" ref="D625">IFERROR(INDEX(Data!A:A, MATCH($E625, Data!$B:$B, 0)), "")</f>
        <v/>
      </c>
      <c r="E625" s="9" t="str">
        <f>LARGE(Data!$B$2:$B1000,A625 )</f>
        <v>#NUM!</v>
      </c>
      <c r="F625" s="9" t="str">
        <f t="array" ref="F625">IFERROR(INDEX(Data!C:C, MATCH($E625, Data!$B:$B, 0)), "")</f>
        <v/>
      </c>
      <c r="G625" s="9" t="str">
        <f t="array" ref="G625">IFERROR(INDEX(Data!D:D, MATCH($E625, Data!$B:$B, 0)), "")</f>
        <v/>
      </c>
      <c r="H625" s="9" t="str">
        <f t="array" ref="H625">IFERROR(INDEX(Data!E:E, MATCH($E625, Data!$B:$B, 0)), "")</f>
        <v/>
      </c>
      <c r="I625" s="9" t="str">
        <f t="shared" si="1"/>
        <v/>
      </c>
      <c r="J625" s="9" t="str">
        <f t="shared" si="2"/>
        <v>#REF!</v>
      </c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12">
        <v>624.0</v>
      </c>
      <c r="B626" s="13"/>
      <c r="C626" s="9" t="str">
        <f t="array" ref="C626">IFERROR(INDEX(Data!F:F, MATCH($E626, Data!$B:$B, 0)), "")</f>
        <v/>
      </c>
      <c r="D626" s="9" t="str">
        <f t="array" ref="D626">IFERROR(INDEX(Data!A:A, MATCH($E626, Data!$B:$B, 0)), "")</f>
        <v/>
      </c>
      <c r="E626" s="9" t="str">
        <f>LARGE(Data!$B$2:$B1000,A626 )</f>
        <v>#NUM!</v>
      </c>
      <c r="F626" s="9" t="str">
        <f t="array" ref="F626">IFERROR(INDEX(Data!C:C, MATCH($E626, Data!$B:$B, 0)), "")</f>
        <v/>
      </c>
      <c r="G626" s="9" t="str">
        <f t="array" ref="G626">IFERROR(INDEX(Data!D:D, MATCH($E626, Data!$B:$B, 0)), "")</f>
        <v/>
      </c>
      <c r="H626" s="9" t="str">
        <f t="array" ref="H626">IFERROR(INDEX(Data!E:E, MATCH($E626, Data!$B:$B, 0)), "")</f>
        <v/>
      </c>
      <c r="I626" s="9" t="str">
        <f t="shared" si="1"/>
        <v/>
      </c>
      <c r="J626" s="9" t="str">
        <f t="shared" si="2"/>
        <v>#REF!</v>
      </c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12">
        <v>625.0</v>
      </c>
      <c r="B627" s="13"/>
      <c r="C627" s="9" t="str">
        <f t="array" ref="C627">IFERROR(INDEX(Data!F:F, MATCH($E627, Data!$B:$B, 0)), "")</f>
        <v/>
      </c>
      <c r="D627" s="9" t="str">
        <f t="array" ref="D627">IFERROR(INDEX(Data!A:A, MATCH($E627, Data!$B:$B, 0)), "")</f>
        <v/>
      </c>
      <c r="E627" s="9" t="str">
        <f>LARGE(Data!$B$2:$B1000,A627 )</f>
        <v>#NUM!</v>
      </c>
      <c r="F627" s="9" t="str">
        <f t="array" ref="F627">IFERROR(INDEX(Data!C:C, MATCH($E627, Data!$B:$B, 0)), "")</f>
        <v/>
      </c>
      <c r="G627" s="9" t="str">
        <f t="array" ref="G627">IFERROR(INDEX(Data!D:D, MATCH($E627, Data!$B:$B, 0)), "")</f>
        <v/>
      </c>
      <c r="H627" s="9" t="str">
        <f t="array" ref="H627">IFERROR(INDEX(Data!E:E, MATCH($E627, Data!$B:$B, 0)), "")</f>
        <v/>
      </c>
      <c r="I627" s="9" t="str">
        <f t="shared" si="1"/>
        <v/>
      </c>
      <c r="J627" s="9" t="str">
        <f t="shared" si="2"/>
        <v>#REF!</v>
      </c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12">
        <v>626.0</v>
      </c>
      <c r="B628" s="13"/>
      <c r="C628" s="9" t="str">
        <f t="array" ref="C628">IFERROR(INDEX(Data!F:F, MATCH($E628, Data!$B:$B, 0)), "")</f>
        <v/>
      </c>
      <c r="D628" s="9" t="str">
        <f t="array" ref="D628">IFERROR(INDEX(Data!A:A, MATCH($E628, Data!$B:$B, 0)), "")</f>
        <v/>
      </c>
      <c r="E628" s="9" t="str">
        <f>LARGE(Data!$B$2:$B1000,A628 )</f>
        <v>#NUM!</v>
      </c>
      <c r="F628" s="9" t="str">
        <f t="array" ref="F628">IFERROR(INDEX(Data!C:C, MATCH($E628, Data!$B:$B, 0)), "")</f>
        <v/>
      </c>
      <c r="G628" s="9" t="str">
        <f t="array" ref="G628">IFERROR(INDEX(Data!D:D, MATCH($E628, Data!$B:$B, 0)), "")</f>
        <v/>
      </c>
      <c r="H628" s="9" t="str">
        <f t="array" ref="H628">IFERROR(INDEX(Data!E:E, MATCH($E628, Data!$B:$B, 0)), "")</f>
        <v/>
      </c>
      <c r="I628" s="9" t="str">
        <f t="shared" si="1"/>
        <v/>
      </c>
      <c r="J628" s="9" t="str">
        <f t="shared" si="2"/>
        <v>#REF!</v>
      </c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12">
        <v>627.0</v>
      </c>
      <c r="B629" s="13"/>
      <c r="C629" s="9" t="str">
        <f t="array" ref="C629">IFERROR(INDEX(Data!F:F, MATCH($E629, Data!$B:$B, 0)), "")</f>
        <v/>
      </c>
      <c r="D629" s="9" t="str">
        <f t="array" ref="D629">IFERROR(INDEX(Data!A:A, MATCH($E629, Data!$B:$B, 0)), "")</f>
        <v/>
      </c>
      <c r="E629" s="9" t="str">
        <f>LARGE(Data!$B$2:$B1000,A629 )</f>
        <v>#NUM!</v>
      </c>
      <c r="F629" s="9" t="str">
        <f t="array" ref="F629">IFERROR(INDEX(Data!C:C, MATCH($E629, Data!$B:$B, 0)), "")</f>
        <v/>
      </c>
      <c r="G629" s="9" t="str">
        <f t="array" ref="G629">IFERROR(INDEX(Data!D:D, MATCH($E629, Data!$B:$B, 0)), "")</f>
        <v/>
      </c>
      <c r="H629" s="9" t="str">
        <f t="array" ref="H629">IFERROR(INDEX(Data!E:E, MATCH($E629, Data!$B:$B, 0)), "")</f>
        <v/>
      </c>
      <c r="I629" s="9" t="str">
        <f t="shared" si="1"/>
        <v/>
      </c>
      <c r="J629" s="9" t="str">
        <f t="shared" si="2"/>
        <v>#REF!</v>
      </c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12">
        <v>628.0</v>
      </c>
      <c r="B630" s="13"/>
      <c r="C630" s="9" t="str">
        <f t="array" ref="C630">IFERROR(INDEX(Data!F:F, MATCH($E630, Data!$B:$B, 0)), "")</f>
        <v/>
      </c>
      <c r="D630" s="9" t="str">
        <f t="array" ref="D630">IFERROR(INDEX(Data!A:A, MATCH($E630, Data!$B:$B, 0)), "")</f>
        <v/>
      </c>
      <c r="E630" s="9" t="str">
        <f>LARGE(Data!$B$2:$B1000,A630 )</f>
        <v>#NUM!</v>
      </c>
      <c r="F630" s="9" t="str">
        <f t="array" ref="F630">IFERROR(INDEX(Data!C:C, MATCH($E630, Data!$B:$B, 0)), "")</f>
        <v/>
      </c>
      <c r="G630" s="9" t="str">
        <f t="array" ref="G630">IFERROR(INDEX(Data!D:D, MATCH($E630, Data!$B:$B, 0)), "")</f>
        <v/>
      </c>
      <c r="H630" s="9" t="str">
        <f t="array" ref="H630">IFERROR(INDEX(Data!E:E, MATCH($E630, Data!$B:$B, 0)), "")</f>
        <v/>
      </c>
      <c r="I630" s="9" t="str">
        <f t="shared" si="1"/>
        <v/>
      </c>
      <c r="J630" s="9" t="str">
        <f t="shared" si="2"/>
        <v>#REF!</v>
      </c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12">
        <v>629.0</v>
      </c>
      <c r="B631" s="13"/>
      <c r="C631" s="9" t="str">
        <f t="array" ref="C631">IFERROR(INDEX(Data!F:F, MATCH($E631, Data!$B:$B, 0)), "")</f>
        <v/>
      </c>
      <c r="D631" s="9" t="str">
        <f t="array" ref="D631">IFERROR(INDEX(Data!A:A, MATCH($E631, Data!$B:$B, 0)), "")</f>
        <v/>
      </c>
      <c r="E631" s="9" t="str">
        <f>LARGE(Data!$B$2:$B1000,A631 )</f>
        <v>#NUM!</v>
      </c>
      <c r="F631" s="9" t="str">
        <f t="array" ref="F631">IFERROR(INDEX(Data!C:C, MATCH($E631, Data!$B:$B, 0)), "")</f>
        <v/>
      </c>
      <c r="G631" s="9" t="str">
        <f t="array" ref="G631">IFERROR(INDEX(Data!D:D, MATCH($E631, Data!$B:$B, 0)), "")</f>
        <v/>
      </c>
      <c r="H631" s="9" t="str">
        <f t="array" ref="H631">IFERROR(INDEX(Data!E:E, MATCH($E631, Data!$B:$B, 0)), "")</f>
        <v/>
      </c>
      <c r="I631" s="9" t="str">
        <f t="shared" si="1"/>
        <v/>
      </c>
      <c r="J631" s="9" t="str">
        <f t="shared" si="2"/>
        <v>#REF!</v>
      </c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12">
        <v>630.0</v>
      </c>
      <c r="B632" s="13"/>
      <c r="C632" s="9" t="str">
        <f t="array" ref="C632">IFERROR(INDEX(Data!F:F, MATCH($E632, Data!$B:$B, 0)), "")</f>
        <v/>
      </c>
      <c r="D632" s="9" t="str">
        <f t="array" ref="D632">IFERROR(INDEX(Data!A:A, MATCH($E632, Data!$B:$B, 0)), "")</f>
        <v/>
      </c>
      <c r="E632" s="9" t="str">
        <f>LARGE(Data!$B$2:$B1000,A632 )</f>
        <v>#NUM!</v>
      </c>
      <c r="F632" s="9" t="str">
        <f t="array" ref="F632">IFERROR(INDEX(Data!C:C, MATCH($E632, Data!$B:$B, 0)), "")</f>
        <v/>
      </c>
      <c r="G632" s="9" t="str">
        <f t="array" ref="G632">IFERROR(INDEX(Data!D:D, MATCH($E632, Data!$B:$B, 0)), "")</f>
        <v/>
      </c>
      <c r="H632" s="9" t="str">
        <f t="array" ref="H632">IFERROR(INDEX(Data!E:E, MATCH($E632, Data!$B:$B, 0)), "")</f>
        <v/>
      </c>
      <c r="I632" s="9" t="str">
        <f t="shared" si="1"/>
        <v/>
      </c>
      <c r="J632" s="9" t="str">
        <f t="shared" si="2"/>
        <v>#REF!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12">
        <v>631.0</v>
      </c>
      <c r="B633" s="13"/>
      <c r="C633" s="9" t="str">
        <f t="array" ref="C633">IFERROR(INDEX(Data!F:F, MATCH($E633, Data!$B:$B, 0)), "")</f>
        <v/>
      </c>
      <c r="D633" s="9" t="str">
        <f t="array" ref="D633">IFERROR(INDEX(Data!A:A, MATCH($E633, Data!$B:$B, 0)), "")</f>
        <v/>
      </c>
      <c r="E633" s="9" t="str">
        <f>LARGE(Data!$B$2:$B1000,A633 )</f>
        <v>#NUM!</v>
      </c>
      <c r="F633" s="9" t="str">
        <f t="array" ref="F633">IFERROR(INDEX(Data!C:C, MATCH($E633, Data!$B:$B, 0)), "")</f>
        <v/>
      </c>
      <c r="G633" s="9" t="str">
        <f t="array" ref="G633">IFERROR(INDEX(Data!D:D, MATCH($E633, Data!$B:$B, 0)), "")</f>
        <v/>
      </c>
      <c r="H633" s="9" t="str">
        <f t="array" ref="H633">IFERROR(INDEX(Data!E:E, MATCH($E633, Data!$B:$B, 0)), "")</f>
        <v/>
      </c>
      <c r="I633" s="9" t="str">
        <f t="shared" si="1"/>
        <v/>
      </c>
      <c r="J633" s="9" t="str">
        <f t="shared" si="2"/>
        <v>#REF!</v>
      </c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12">
        <v>632.0</v>
      </c>
      <c r="B634" s="13"/>
      <c r="C634" s="9" t="str">
        <f t="array" ref="C634">IFERROR(INDEX(Data!F:F, MATCH($E634, Data!$B:$B, 0)), "")</f>
        <v/>
      </c>
      <c r="D634" s="9" t="str">
        <f t="array" ref="D634">IFERROR(INDEX(Data!A:A, MATCH($E634, Data!$B:$B, 0)), "")</f>
        <v/>
      </c>
      <c r="E634" s="9" t="str">
        <f>LARGE(Data!$B$2:$B1000,A634 )</f>
        <v>#NUM!</v>
      </c>
      <c r="F634" s="9" t="str">
        <f t="array" ref="F634">IFERROR(INDEX(Data!C:C, MATCH($E634, Data!$B:$B, 0)), "")</f>
        <v/>
      </c>
      <c r="G634" s="9" t="str">
        <f t="array" ref="G634">IFERROR(INDEX(Data!D:D, MATCH($E634, Data!$B:$B, 0)), "")</f>
        <v/>
      </c>
      <c r="H634" s="9" t="str">
        <f t="array" ref="H634">IFERROR(INDEX(Data!E:E, MATCH($E634, Data!$B:$B, 0)), "")</f>
        <v/>
      </c>
      <c r="I634" s="9" t="str">
        <f t="shared" si="1"/>
        <v/>
      </c>
      <c r="J634" s="9" t="str">
        <f t="shared" si="2"/>
        <v>#REF!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12">
        <v>633.0</v>
      </c>
      <c r="B635" s="13"/>
      <c r="C635" s="9" t="str">
        <f t="array" ref="C635">IFERROR(INDEX(Data!F:F, MATCH($E635, Data!$B:$B, 0)), "")</f>
        <v/>
      </c>
      <c r="D635" s="9" t="str">
        <f t="array" ref="D635">IFERROR(INDEX(Data!A:A, MATCH($E635, Data!$B:$B, 0)), "")</f>
        <v/>
      </c>
      <c r="E635" s="9" t="str">
        <f>LARGE(Data!$B$2:$B1000,A635 )</f>
        <v>#NUM!</v>
      </c>
      <c r="F635" s="9" t="str">
        <f t="array" ref="F635">IFERROR(INDEX(Data!C:C, MATCH($E635, Data!$B:$B, 0)), "")</f>
        <v/>
      </c>
      <c r="G635" s="9" t="str">
        <f t="array" ref="G635">IFERROR(INDEX(Data!D:D, MATCH($E635, Data!$B:$B, 0)), "")</f>
        <v/>
      </c>
      <c r="H635" s="9" t="str">
        <f t="array" ref="H635">IFERROR(INDEX(Data!E:E, MATCH($E635, Data!$B:$B, 0)), "")</f>
        <v/>
      </c>
      <c r="I635" s="9" t="str">
        <f t="shared" si="1"/>
        <v/>
      </c>
      <c r="J635" s="9" t="str">
        <f t="shared" si="2"/>
        <v>#REF!</v>
      </c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12">
        <v>634.0</v>
      </c>
      <c r="B636" s="13"/>
      <c r="C636" s="9" t="str">
        <f t="array" ref="C636">IFERROR(INDEX(Data!F:F, MATCH($E636, Data!$B:$B, 0)), "")</f>
        <v/>
      </c>
      <c r="D636" s="9" t="str">
        <f t="array" ref="D636">IFERROR(INDEX(Data!A:A, MATCH($E636, Data!$B:$B, 0)), "")</f>
        <v/>
      </c>
      <c r="E636" s="9" t="str">
        <f>LARGE(Data!$B$2:$B1000,A636 )</f>
        <v>#NUM!</v>
      </c>
      <c r="F636" s="9" t="str">
        <f t="array" ref="F636">IFERROR(INDEX(Data!C:C, MATCH($E636, Data!$B:$B, 0)), "")</f>
        <v/>
      </c>
      <c r="G636" s="9" t="str">
        <f t="array" ref="G636">IFERROR(INDEX(Data!D:D, MATCH($E636, Data!$B:$B, 0)), "")</f>
        <v/>
      </c>
      <c r="H636" s="9" t="str">
        <f t="array" ref="H636">IFERROR(INDEX(Data!E:E, MATCH($E636, Data!$B:$B, 0)), "")</f>
        <v/>
      </c>
      <c r="I636" s="9" t="str">
        <f t="shared" si="1"/>
        <v/>
      </c>
      <c r="J636" s="9" t="str">
        <f t="shared" si="2"/>
        <v>#REF!</v>
      </c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12">
        <v>635.0</v>
      </c>
      <c r="B637" s="13"/>
      <c r="C637" s="9" t="str">
        <f t="array" ref="C637">IFERROR(INDEX(Data!F:F, MATCH($E637, Data!$B:$B, 0)), "")</f>
        <v/>
      </c>
      <c r="D637" s="9" t="str">
        <f t="array" ref="D637">IFERROR(INDEX(Data!A:A, MATCH($E637, Data!$B:$B, 0)), "")</f>
        <v/>
      </c>
      <c r="E637" s="9" t="str">
        <f>LARGE(Data!$B$2:$B1000,A637 )</f>
        <v>#NUM!</v>
      </c>
      <c r="F637" s="9" t="str">
        <f t="array" ref="F637">IFERROR(INDEX(Data!C:C, MATCH($E637, Data!$B:$B, 0)), "")</f>
        <v/>
      </c>
      <c r="G637" s="9" t="str">
        <f t="array" ref="G637">IFERROR(INDEX(Data!D:D, MATCH($E637, Data!$B:$B, 0)), "")</f>
        <v/>
      </c>
      <c r="H637" s="9" t="str">
        <f t="array" ref="H637">IFERROR(INDEX(Data!E:E, MATCH($E637, Data!$B:$B, 0)), "")</f>
        <v/>
      </c>
      <c r="I637" s="9" t="str">
        <f t="shared" si="1"/>
        <v/>
      </c>
      <c r="J637" s="9" t="str">
        <f t="shared" si="2"/>
        <v>#REF!</v>
      </c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12">
        <v>636.0</v>
      </c>
      <c r="B638" s="13"/>
      <c r="C638" s="9" t="str">
        <f t="array" ref="C638">IFERROR(INDEX(Data!F:F, MATCH($E638, Data!$B:$B, 0)), "")</f>
        <v/>
      </c>
      <c r="D638" s="9" t="str">
        <f t="array" ref="D638">IFERROR(INDEX(Data!A:A, MATCH($E638, Data!$B:$B, 0)), "")</f>
        <v/>
      </c>
      <c r="E638" s="9" t="str">
        <f>LARGE(Data!$B$2:$B1000,A638 )</f>
        <v>#NUM!</v>
      </c>
      <c r="F638" s="9" t="str">
        <f t="array" ref="F638">IFERROR(INDEX(Data!C:C, MATCH($E638, Data!$B:$B, 0)), "")</f>
        <v/>
      </c>
      <c r="G638" s="9" t="str">
        <f t="array" ref="G638">IFERROR(INDEX(Data!D:D, MATCH($E638, Data!$B:$B, 0)), "")</f>
        <v/>
      </c>
      <c r="H638" s="9" t="str">
        <f t="array" ref="H638">IFERROR(INDEX(Data!E:E, MATCH($E638, Data!$B:$B, 0)), "")</f>
        <v/>
      </c>
      <c r="I638" s="9" t="str">
        <f t="shared" si="1"/>
        <v/>
      </c>
      <c r="J638" s="9" t="str">
        <f t="shared" si="2"/>
        <v>#REF!</v>
      </c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12">
        <v>637.0</v>
      </c>
      <c r="B639" s="13"/>
      <c r="C639" s="9" t="str">
        <f t="array" ref="C639">IFERROR(INDEX(Data!F:F, MATCH($E639, Data!$B:$B, 0)), "")</f>
        <v/>
      </c>
      <c r="D639" s="9" t="str">
        <f t="array" ref="D639">IFERROR(INDEX(Data!A:A, MATCH($E639, Data!$B:$B, 0)), "")</f>
        <v/>
      </c>
      <c r="E639" s="9" t="str">
        <f>LARGE(Data!$B$2:$B1000,A639 )</f>
        <v>#NUM!</v>
      </c>
      <c r="F639" s="9" t="str">
        <f t="array" ref="F639">IFERROR(INDEX(Data!C:C, MATCH($E639, Data!$B:$B, 0)), "")</f>
        <v/>
      </c>
      <c r="G639" s="9" t="str">
        <f t="array" ref="G639">IFERROR(INDEX(Data!D:D, MATCH($E639, Data!$B:$B, 0)), "")</f>
        <v/>
      </c>
      <c r="H639" s="9" t="str">
        <f t="array" ref="H639">IFERROR(INDEX(Data!E:E, MATCH($E639, Data!$B:$B, 0)), "")</f>
        <v/>
      </c>
      <c r="I639" s="9" t="str">
        <f t="shared" si="1"/>
        <v/>
      </c>
      <c r="J639" s="9" t="str">
        <f t="shared" si="2"/>
        <v>#REF!</v>
      </c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12">
        <v>638.0</v>
      </c>
      <c r="B640" s="13"/>
      <c r="C640" s="9" t="str">
        <f t="array" ref="C640">IFERROR(INDEX(Data!F:F, MATCH($E640, Data!$B:$B, 0)), "")</f>
        <v/>
      </c>
      <c r="D640" s="9" t="str">
        <f t="array" ref="D640">IFERROR(INDEX(Data!A:A, MATCH($E640, Data!$B:$B, 0)), "")</f>
        <v/>
      </c>
      <c r="E640" s="9" t="str">
        <f>LARGE(Data!$B$2:$B1000,A640 )</f>
        <v>#NUM!</v>
      </c>
      <c r="F640" s="9" t="str">
        <f t="array" ref="F640">IFERROR(INDEX(Data!C:C, MATCH($E640, Data!$B:$B, 0)), "")</f>
        <v/>
      </c>
      <c r="G640" s="9" t="str">
        <f t="array" ref="G640">IFERROR(INDEX(Data!D:D, MATCH($E640, Data!$B:$B, 0)), "")</f>
        <v/>
      </c>
      <c r="H640" s="9" t="str">
        <f t="array" ref="H640">IFERROR(INDEX(Data!E:E, MATCH($E640, Data!$B:$B, 0)), "")</f>
        <v/>
      </c>
      <c r="I640" s="9" t="str">
        <f t="shared" si="1"/>
        <v/>
      </c>
      <c r="J640" s="9" t="str">
        <f t="shared" si="2"/>
        <v>#REF!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12">
        <v>639.0</v>
      </c>
      <c r="B641" s="13"/>
      <c r="C641" s="9" t="str">
        <f t="array" ref="C641">IFERROR(INDEX(Data!F:F, MATCH($E641, Data!$B:$B, 0)), "")</f>
        <v/>
      </c>
      <c r="D641" s="9" t="str">
        <f t="array" ref="D641">IFERROR(INDEX(Data!A:A, MATCH($E641, Data!$B:$B, 0)), "")</f>
        <v/>
      </c>
      <c r="E641" s="9" t="str">
        <f>LARGE(Data!$B$2:$B1000,A641 )</f>
        <v>#NUM!</v>
      </c>
      <c r="F641" s="9" t="str">
        <f t="array" ref="F641">IFERROR(INDEX(Data!C:C, MATCH($E641, Data!$B:$B, 0)), "")</f>
        <v/>
      </c>
      <c r="G641" s="9" t="str">
        <f t="array" ref="G641">IFERROR(INDEX(Data!D:D, MATCH($E641, Data!$B:$B, 0)), "")</f>
        <v/>
      </c>
      <c r="H641" s="9" t="str">
        <f t="array" ref="H641">IFERROR(INDEX(Data!E:E, MATCH($E641, Data!$B:$B, 0)), "")</f>
        <v/>
      </c>
      <c r="I641" s="9" t="str">
        <f t="shared" si="1"/>
        <v/>
      </c>
      <c r="J641" s="9" t="str">
        <f t="shared" si="2"/>
        <v>#REF!</v>
      </c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12">
        <v>640.0</v>
      </c>
      <c r="B642" s="13"/>
      <c r="C642" s="9" t="str">
        <f t="array" ref="C642">IFERROR(INDEX(Data!F:F, MATCH($E642, Data!$B:$B, 0)), "")</f>
        <v/>
      </c>
      <c r="D642" s="9" t="str">
        <f t="array" ref="D642">IFERROR(INDEX(Data!A:A, MATCH($E642, Data!$B:$B, 0)), "")</f>
        <v/>
      </c>
      <c r="E642" s="9" t="str">
        <f>LARGE(Data!$B$2:$B1000,A642 )</f>
        <v>#NUM!</v>
      </c>
      <c r="F642" s="9" t="str">
        <f t="array" ref="F642">IFERROR(INDEX(Data!C:C, MATCH($E642, Data!$B:$B, 0)), "")</f>
        <v/>
      </c>
      <c r="G642" s="9" t="str">
        <f t="array" ref="G642">IFERROR(INDEX(Data!D:D, MATCH($E642, Data!$B:$B, 0)), "")</f>
        <v/>
      </c>
      <c r="H642" s="9" t="str">
        <f t="array" ref="H642">IFERROR(INDEX(Data!E:E, MATCH($E642, Data!$B:$B, 0)), "")</f>
        <v/>
      </c>
      <c r="I642" s="9" t="str">
        <f t="shared" si="1"/>
        <v/>
      </c>
      <c r="J642" s="9" t="str">
        <f t="shared" si="2"/>
        <v>#REF!</v>
      </c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12">
        <v>641.0</v>
      </c>
      <c r="B643" s="13"/>
      <c r="C643" s="9" t="str">
        <f t="array" ref="C643">IFERROR(INDEX(Data!F:F, MATCH($E643, Data!$B:$B, 0)), "")</f>
        <v/>
      </c>
      <c r="D643" s="9" t="str">
        <f t="array" ref="D643">IFERROR(INDEX(Data!A:A, MATCH($E643, Data!$B:$B, 0)), "")</f>
        <v/>
      </c>
      <c r="E643" s="9" t="str">
        <f>LARGE(Data!$B$2:$B1000,A643 )</f>
        <v>#NUM!</v>
      </c>
      <c r="F643" s="9" t="str">
        <f t="array" ref="F643">IFERROR(INDEX(Data!C:C, MATCH($E643, Data!$B:$B, 0)), "")</f>
        <v/>
      </c>
      <c r="G643" s="9" t="str">
        <f t="array" ref="G643">IFERROR(INDEX(Data!D:D, MATCH($E643, Data!$B:$B, 0)), "")</f>
        <v/>
      </c>
      <c r="H643" s="9" t="str">
        <f t="array" ref="H643">IFERROR(INDEX(Data!E:E, MATCH($E643, Data!$B:$B, 0)), "")</f>
        <v/>
      </c>
      <c r="I643" s="9" t="str">
        <f t="shared" si="1"/>
        <v/>
      </c>
      <c r="J643" s="9" t="str">
        <f t="shared" si="2"/>
        <v>#REF!</v>
      </c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12">
        <v>642.0</v>
      </c>
      <c r="B644" s="13"/>
      <c r="C644" s="9" t="str">
        <f t="array" ref="C644">IFERROR(INDEX(Data!F:F, MATCH($E644, Data!$B:$B, 0)), "")</f>
        <v/>
      </c>
      <c r="D644" s="9" t="str">
        <f t="array" ref="D644">IFERROR(INDEX(Data!A:A, MATCH($E644, Data!$B:$B, 0)), "")</f>
        <v/>
      </c>
      <c r="E644" s="9" t="str">
        <f>LARGE(Data!$B$2:$B1000,A644 )</f>
        <v>#NUM!</v>
      </c>
      <c r="F644" s="9" t="str">
        <f t="array" ref="F644">IFERROR(INDEX(Data!C:C, MATCH($E644, Data!$B:$B, 0)), "")</f>
        <v/>
      </c>
      <c r="G644" s="9" t="str">
        <f t="array" ref="G644">IFERROR(INDEX(Data!D:D, MATCH($E644, Data!$B:$B, 0)), "")</f>
        <v/>
      </c>
      <c r="H644" s="9" t="str">
        <f t="array" ref="H644">IFERROR(INDEX(Data!E:E, MATCH($E644, Data!$B:$B, 0)), "")</f>
        <v/>
      </c>
      <c r="I644" s="9" t="str">
        <f t="shared" si="1"/>
        <v/>
      </c>
      <c r="J644" s="9" t="str">
        <f t="shared" si="2"/>
        <v>#REF!</v>
      </c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12">
        <v>643.0</v>
      </c>
      <c r="B645" s="13"/>
      <c r="C645" s="9" t="str">
        <f t="array" ref="C645">IFERROR(INDEX(Data!F:F, MATCH($E645, Data!$B:$B, 0)), "")</f>
        <v/>
      </c>
      <c r="D645" s="9" t="str">
        <f t="array" ref="D645">IFERROR(INDEX(Data!A:A, MATCH($E645, Data!$B:$B, 0)), "")</f>
        <v/>
      </c>
      <c r="E645" s="9" t="str">
        <f>LARGE(Data!$B$2:$B1000,A645 )</f>
        <v>#NUM!</v>
      </c>
      <c r="F645" s="9" t="str">
        <f t="array" ref="F645">IFERROR(INDEX(Data!C:C, MATCH($E645, Data!$B:$B, 0)), "")</f>
        <v/>
      </c>
      <c r="G645" s="9" t="str">
        <f t="array" ref="G645">IFERROR(INDEX(Data!D:D, MATCH($E645, Data!$B:$B, 0)), "")</f>
        <v/>
      </c>
      <c r="H645" s="9" t="str">
        <f t="array" ref="H645">IFERROR(INDEX(Data!E:E, MATCH($E645, Data!$B:$B, 0)), "")</f>
        <v/>
      </c>
      <c r="I645" s="9" t="str">
        <f t="shared" si="1"/>
        <v/>
      </c>
      <c r="J645" s="9" t="str">
        <f t="shared" si="2"/>
        <v>#REF!</v>
      </c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12">
        <v>644.0</v>
      </c>
      <c r="B646" s="13"/>
      <c r="C646" s="9" t="str">
        <f t="array" ref="C646">IFERROR(INDEX(Data!F:F, MATCH($E646, Data!$B:$B, 0)), "")</f>
        <v/>
      </c>
      <c r="D646" s="9" t="str">
        <f t="array" ref="D646">IFERROR(INDEX(Data!A:A, MATCH($E646, Data!$B:$B, 0)), "")</f>
        <v/>
      </c>
      <c r="E646" s="9" t="str">
        <f>LARGE(Data!$B$2:$B1000,A646 )</f>
        <v>#NUM!</v>
      </c>
      <c r="F646" s="9" t="str">
        <f t="array" ref="F646">IFERROR(INDEX(Data!C:C, MATCH($E646, Data!$B:$B, 0)), "")</f>
        <v/>
      </c>
      <c r="G646" s="9" t="str">
        <f t="array" ref="G646">IFERROR(INDEX(Data!D:D, MATCH($E646, Data!$B:$B, 0)), "")</f>
        <v/>
      </c>
      <c r="H646" s="9" t="str">
        <f t="array" ref="H646">IFERROR(INDEX(Data!E:E, MATCH($E646, Data!$B:$B, 0)), "")</f>
        <v/>
      </c>
      <c r="I646" s="9" t="str">
        <f t="shared" si="1"/>
        <v/>
      </c>
      <c r="J646" s="9" t="str">
        <f t="shared" si="2"/>
        <v>#REF!</v>
      </c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12">
        <v>645.0</v>
      </c>
      <c r="B647" s="13"/>
      <c r="C647" s="9" t="str">
        <f t="array" ref="C647">IFERROR(INDEX(Data!F:F, MATCH($E647, Data!$B:$B, 0)), "")</f>
        <v/>
      </c>
      <c r="D647" s="9" t="str">
        <f t="array" ref="D647">IFERROR(INDEX(Data!A:A, MATCH($E647, Data!$B:$B, 0)), "")</f>
        <v/>
      </c>
      <c r="E647" s="9" t="str">
        <f>LARGE(Data!$B$2:$B1000,A647 )</f>
        <v>#NUM!</v>
      </c>
      <c r="F647" s="9" t="str">
        <f t="array" ref="F647">IFERROR(INDEX(Data!C:C, MATCH($E647, Data!$B:$B, 0)), "")</f>
        <v/>
      </c>
      <c r="G647" s="9" t="str">
        <f t="array" ref="G647">IFERROR(INDEX(Data!D:D, MATCH($E647, Data!$B:$B, 0)), "")</f>
        <v/>
      </c>
      <c r="H647" s="9" t="str">
        <f t="array" ref="H647">IFERROR(INDEX(Data!E:E, MATCH($E647, Data!$B:$B, 0)), "")</f>
        <v/>
      </c>
      <c r="I647" s="9" t="str">
        <f t="shared" si="1"/>
        <v/>
      </c>
      <c r="J647" s="9" t="str">
        <f t="shared" si="2"/>
        <v>#REF!</v>
      </c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12">
        <v>646.0</v>
      </c>
      <c r="B648" s="13"/>
      <c r="C648" s="9" t="str">
        <f t="array" ref="C648">IFERROR(INDEX(Data!F:F, MATCH($E648, Data!$B:$B, 0)), "")</f>
        <v/>
      </c>
      <c r="D648" s="9" t="str">
        <f t="array" ref="D648">IFERROR(INDEX(Data!A:A, MATCH($E648, Data!$B:$B, 0)), "")</f>
        <v/>
      </c>
      <c r="E648" s="9" t="str">
        <f>LARGE(Data!$B$2:$B1000,A648 )</f>
        <v>#NUM!</v>
      </c>
      <c r="F648" s="9" t="str">
        <f t="array" ref="F648">IFERROR(INDEX(Data!C:C, MATCH($E648, Data!$B:$B, 0)), "")</f>
        <v/>
      </c>
      <c r="G648" s="9" t="str">
        <f t="array" ref="G648">IFERROR(INDEX(Data!D:D, MATCH($E648, Data!$B:$B, 0)), "")</f>
        <v/>
      </c>
      <c r="H648" s="9" t="str">
        <f t="array" ref="H648">IFERROR(INDEX(Data!E:E, MATCH($E648, Data!$B:$B, 0)), "")</f>
        <v/>
      </c>
      <c r="I648" s="9" t="str">
        <f t="shared" si="1"/>
        <v/>
      </c>
      <c r="J648" s="9" t="str">
        <f t="shared" si="2"/>
        <v>#REF!</v>
      </c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12">
        <v>647.0</v>
      </c>
      <c r="B649" s="13"/>
      <c r="C649" s="9" t="str">
        <f t="array" ref="C649">IFERROR(INDEX(Data!F:F, MATCH($E649, Data!$B:$B, 0)), "")</f>
        <v/>
      </c>
      <c r="D649" s="9" t="str">
        <f t="array" ref="D649">IFERROR(INDEX(Data!A:A, MATCH($E649, Data!$B:$B, 0)), "")</f>
        <v/>
      </c>
      <c r="E649" s="9" t="str">
        <f>LARGE(Data!$B$2:$B1000,A649 )</f>
        <v>#NUM!</v>
      </c>
      <c r="F649" s="9" t="str">
        <f t="array" ref="F649">IFERROR(INDEX(Data!C:C, MATCH($E649, Data!$B:$B, 0)), "")</f>
        <v/>
      </c>
      <c r="G649" s="9" t="str">
        <f t="array" ref="G649">IFERROR(INDEX(Data!D:D, MATCH($E649, Data!$B:$B, 0)), "")</f>
        <v/>
      </c>
      <c r="H649" s="9" t="str">
        <f t="array" ref="H649">IFERROR(INDEX(Data!E:E, MATCH($E649, Data!$B:$B, 0)), "")</f>
        <v/>
      </c>
      <c r="I649" s="9" t="str">
        <f t="shared" si="1"/>
        <v/>
      </c>
      <c r="J649" s="9" t="str">
        <f t="shared" si="2"/>
        <v>#REF!</v>
      </c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12">
        <v>648.0</v>
      </c>
      <c r="B650" s="13"/>
      <c r="C650" s="9" t="str">
        <f t="array" ref="C650">IFERROR(INDEX(Data!F:F, MATCH($E650, Data!$B:$B, 0)), "")</f>
        <v/>
      </c>
      <c r="D650" s="9" t="str">
        <f t="array" ref="D650">IFERROR(INDEX(Data!A:A, MATCH($E650, Data!$B:$B, 0)), "")</f>
        <v/>
      </c>
      <c r="E650" s="9" t="str">
        <f>LARGE(Data!$B$2:$B1000,A650 )</f>
        <v>#NUM!</v>
      </c>
      <c r="F650" s="9" t="str">
        <f t="array" ref="F650">IFERROR(INDEX(Data!C:C, MATCH($E650, Data!$B:$B, 0)), "")</f>
        <v/>
      </c>
      <c r="G650" s="9" t="str">
        <f t="array" ref="G650">IFERROR(INDEX(Data!D:D, MATCH($E650, Data!$B:$B, 0)), "")</f>
        <v/>
      </c>
      <c r="H650" s="9" t="str">
        <f t="array" ref="H650">IFERROR(INDEX(Data!E:E, MATCH($E650, Data!$B:$B, 0)), "")</f>
        <v/>
      </c>
      <c r="I650" s="9" t="str">
        <f t="shared" si="1"/>
        <v/>
      </c>
      <c r="J650" s="9" t="str">
        <f t="shared" si="2"/>
        <v>#REF!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12">
        <v>649.0</v>
      </c>
      <c r="B651" s="13"/>
      <c r="C651" s="9" t="str">
        <f t="array" ref="C651">IFERROR(INDEX(Data!F:F, MATCH($E651, Data!$B:$B, 0)), "")</f>
        <v/>
      </c>
      <c r="D651" s="9" t="str">
        <f t="array" ref="D651">IFERROR(INDEX(Data!A:A, MATCH($E651, Data!$B:$B, 0)), "")</f>
        <v/>
      </c>
      <c r="E651" s="9" t="str">
        <f>LARGE(Data!$B$2:$B1000,A651 )</f>
        <v>#NUM!</v>
      </c>
      <c r="F651" s="9" t="str">
        <f t="array" ref="F651">IFERROR(INDEX(Data!C:C, MATCH($E651, Data!$B:$B, 0)), "")</f>
        <v/>
      </c>
      <c r="G651" s="9" t="str">
        <f t="array" ref="G651">IFERROR(INDEX(Data!D:D, MATCH($E651, Data!$B:$B, 0)), "")</f>
        <v/>
      </c>
      <c r="H651" s="9" t="str">
        <f t="array" ref="H651">IFERROR(INDEX(Data!E:E, MATCH($E651, Data!$B:$B, 0)), "")</f>
        <v/>
      </c>
      <c r="I651" s="9" t="str">
        <f t="shared" si="1"/>
        <v/>
      </c>
      <c r="J651" s="9" t="str">
        <f t="shared" si="2"/>
        <v>#REF!</v>
      </c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12">
        <v>650.0</v>
      </c>
      <c r="B652" s="13"/>
      <c r="C652" s="9" t="str">
        <f t="array" ref="C652">IFERROR(INDEX(Data!F:F, MATCH($E652, Data!$B:$B, 0)), "")</f>
        <v/>
      </c>
      <c r="D652" s="9" t="str">
        <f t="array" ref="D652">IFERROR(INDEX(Data!A:A, MATCH($E652, Data!$B:$B, 0)), "")</f>
        <v/>
      </c>
      <c r="E652" s="9" t="str">
        <f>LARGE(Data!$B$2:$B1000,A652 )</f>
        <v>#NUM!</v>
      </c>
      <c r="F652" s="9" t="str">
        <f t="array" ref="F652">IFERROR(INDEX(Data!C:C, MATCH($E652, Data!$B:$B, 0)), "")</f>
        <v/>
      </c>
      <c r="G652" s="9" t="str">
        <f t="array" ref="G652">IFERROR(INDEX(Data!D:D, MATCH($E652, Data!$B:$B, 0)), "")</f>
        <v/>
      </c>
      <c r="H652" s="9" t="str">
        <f t="array" ref="H652">IFERROR(INDEX(Data!E:E, MATCH($E652, Data!$B:$B, 0)), "")</f>
        <v/>
      </c>
      <c r="I652" s="9" t="str">
        <f t="shared" si="1"/>
        <v/>
      </c>
      <c r="J652" s="9" t="str">
        <f t="shared" si="2"/>
        <v>#REF!</v>
      </c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12">
        <v>651.0</v>
      </c>
      <c r="B653" s="13"/>
      <c r="C653" s="9" t="str">
        <f t="array" ref="C653">IFERROR(INDEX(Data!F:F, MATCH($E653, Data!$B:$B, 0)), "")</f>
        <v/>
      </c>
      <c r="D653" s="9" t="str">
        <f t="array" ref="D653">IFERROR(INDEX(Data!A:A, MATCH($E653, Data!$B:$B, 0)), "")</f>
        <v/>
      </c>
      <c r="E653" s="9" t="str">
        <f>LARGE(Data!$B$2:$B1000,A653 )</f>
        <v>#NUM!</v>
      </c>
      <c r="F653" s="9" t="str">
        <f t="array" ref="F653">IFERROR(INDEX(Data!C:C, MATCH($E653, Data!$B:$B, 0)), "")</f>
        <v/>
      </c>
      <c r="G653" s="9" t="str">
        <f t="array" ref="G653">IFERROR(INDEX(Data!D:D, MATCH($E653, Data!$B:$B, 0)), "")</f>
        <v/>
      </c>
      <c r="H653" s="9" t="str">
        <f t="array" ref="H653">IFERROR(INDEX(Data!E:E, MATCH($E653, Data!$B:$B, 0)), "")</f>
        <v/>
      </c>
      <c r="I653" s="9" t="str">
        <f t="shared" si="1"/>
        <v/>
      </c>
      <c r="J653" s="9" t="str">
        <f t="shared" si="2"/>
        <v>#REF!</v>
      </c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12">
        <v>652.0</v>
      </c>
      <c r="B654" s="13"/>
      <c r="C654" s="9" t="str">
        <f t="array" ref="C654">IFERROR(INDEX(Data!F:F, MATCH($E654, Data!$B:$B, 0)), "")</f>
        <v/>
      </c>
      <c r="D654" s="9" t="str">
        <f t="array" ref="D654">IFERROR(INDEX(Data!A:A, MATCH($E654, Data!$B:$B, 0)), "")</f>
        <v/>
      </c>
      <c r="E654" s="9" t="str">
        <f>LARGE(Data!$B$2:$B1000,A654 )</f>
        <v>#NUM!</v>
      </c>
      <c r="F654" s="9" t="str">
        <f t="array" ref="F654">IFERROR(INDEX(Data!C:C, MATCH($E654, Data!$B:$B, 0)), "")</f>
        <v/>
      </c>
      <c r="G654" s="9" t="str">
        <f t="array" ref="G654">IFERROR(INDEX(Data!D:D, MATCH($E654, Data!$B:$B, 0)), "")</f>
        <v/>
      </c>
      <c r="H654" s="9" t="str">
        <f t="array" ref="H654">IFERROR(INDEX(Data!E:E, MATCH($E654, Data!$B:$B, 0)), "")</f>
        <v/>
      </c>
      <c r="I654" s="9" t="str">
        <f t="shared" si="1"/>
        <v/>
      </c>
      <c r="J654" s="9" t="str">
        <f t="shared" si="2"/>
        <v>#REF!</v>
      </c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12">
        <v>653.0</v>
      </c>
      <c r="B655" s="13"/>
      <c r="C655" s="9" t="str">
        <f t="array" ref="C655">IFERROR(INDEX(Data!F:F, MATCH($E655, Data!$B:$B, 0)), "")</f>
        <v/>
      </c>
      <c r="D655" s="9" t="str">
        <f t="array" ref="D655">IFERROR(INDEX(Data!A:A, MATCH($E655, Data!$B:$B, 0)), "")</f>
        <v/>
      </c>
      <c r="E655" s="9" t="str">
        <f>LARGE(Data!$B$2:$B1000,A655 )</f>
        <v>#NUM!</v>
      </c>
      <c r="F655" s="9" t="str">
        <f t="array" ref="F655">IFERROR(INDEX(Data!C:C, MATCH($E655, Data!$B:$B, 0)), "")</f>
        <v/>
      </c>
      <c r="G655" s="9" t="str">
        <f t="array" ref="G655">IFERROR(INDEX(Data!D:D, MATCH($E655, Data!$B:$B, 0)), "")</f>
        <v/>
      </c>
      <c r="H655" s="9" t="str">
        <f t="array" ref="H655">IFERROR(INDEX(Data!E:E, MATCH($E655, Data!$B:$B, 0)), "")</f>
        <v/>
      </c>
      <c r="I655" s="9" t="str">
        <f t="shared" si="1"/>
        <v/>
      </c>
      <c r="J655" s="9" t="str">
        <f t="shared" si="2"/>
        <v>#REF!</v>
      </c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12">
        <v>654.0</v>
      </c>
      <c r="B656" s="13"/>
      <c r="C656" s="9" t="str">
        <f t="array" ref="C656">IFERROR(INDEX(Data!F:F, MATCH($E656, Data!$B:$B, 0)), "")</f>
        <v/>
      </c>
      <c r="D656" s="9" t="str">
        <f t="array" ref="D656">IFERROR(INDEX(Data!A:A, MATCH($E656, Data!$B:$B, 0)), "")</f>
        <v/>
      </c>
      <c r="E656" s="9" t="str">
        <f>LARGE(Data!$B$2:$B1000,A656 )</f>
        <v>#NUM!</v>
      </c>
      <c r="F656" s="9" t="str">
        <f t="array" ref="F656">IFERROR(INDEX(Data!C:C, MATCH($E656, Data!$B:$B, 0)), "")</f>
        <v/>
      </c>
      <c r="G656" s="9" t="str">
        <f t="array" ref="G656">IFERROR(INDEX(Data!D:D, MATCH($E656, Data!$B:$B, 0)), "")</f>
        <v/>
      </c>
      <c r="H656" s="9" t="str">
        <f t="array" ref="H656">IFERROR(INDEX(Data!E:E, MATCH($E656, Data!$B:$B, 0)), "")</f>
        <v/>
      </c>
      <c r="I656" s="9" t="str">
        <f t="shared" si="1"/>
        <v/>
      </c>
      <c r="J656" s="9" t="str">
        <f t="shared" si="2"/>
        <v>#REF!</v>
      </c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12">
        <v>655.0</v>
      </c>
      <c r="B657" s="13"/>
      <c r="C657" s="9" t="str">
        <f t="array" ref="C657">IFERROR(INDEX(Data!F:F, MATCH($E657, Data!$B:$B, 0)), "")</f>
        <v/>
      </c>
      <c r="D657" s="9" t="str">
        <f t="array" ref="D657">IFERROR(INDEX(Data!A:A, MATCH($E657, Data!$B:$B, 0)), "")</f>
        <v/>
      </c>
      <c r="E657" s="9" t="str">
        <f>LARGE(Data!$B$2:$B1000,A657 )</f>
        <v>#NUM!</v>
      </c>
      <c r="F657" s="9" t="str">
        <f t="array" ref="F657">IFERROR(INDEX(Data!C:C, MATCH($E657, Data!$B:$B, 0)), "")</f>
        <v/>
      </c>
      <c r="G657" s="9" t="str">
        <f t="array" ref="G657">IFERROR(INDEX(Data!D:D, MATCH($E657, Data!$B:$B, 0)), "")</f>
        <v/>
      </c>
      <c r="H657" s="9" t="str">
        <f t="array" ref="H657">IFERROR(INDEX(Data!E:E, MATCH($E657, Data!$B:$B, 0)), "")</f>
        <v/>
      </c>
      <c r="I657" s="9" t="str">
        <f t="shared" si="1"/>
        <v/>
      </c>
      <c r="J657" s="9" t="str">
        <f t="shared" si="2"/>
        <v>#REF!</v>
      </c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12">
        <v>656.0</v>
      </c>
      <c r="B658" s="13"/>
      <c r="C658" s="9" t="str">
        <f t="array" ref="C658">IFERROR(INDEX(Data!F:F, MATCH($E658, Data!$B:$B, 0)), "")</f>
        <v/>
      </c>
      <c r="D658" s="9" t="str">
        <f t="array" ref="D658">IFERROR(INDEX(Data!A:A, MATCH($E658, Data!$B:$B, 0)), "")</f>
        <v/>
      </c>
      <c r="E658" s="9" t="str">
        <f>LARGE(Data!$B$2:$B1000,A658 )</f>
        <v>#NUM!</v>
      </c>
      <c r="F658" s="9" t="str">
        <f t="array" ref="F658">IFERROR(INDEX(Data!C:C, MATCH($E658, Data!$B:$B, 0)), "")</f>
        <v/>
      </c>
      <c r="G658" s="9" t="str">
        <f t="array" ref="G658">IFERROR(INDEX(Data!D:D, MATCH($E658, Data!$B:$B, 0)), "")</f>
        <v/>
      </c>
      <c r="H658" s="9" t="str">
        <f t="array" ref="H658">IFERROR(INDEX(Data!E:E, MATCH($E658, Data!$B:$B, 0)), "")</f>
        <v/>
      </c>
      <c r="I658" s="9" t="str">
        <f t="shared" si="1"/>
        <v/>
      </c>
      <c r="J658" s="9" t="str">
        <f t="shared" si="2"/>
        <v>#REF!</v>
      </c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12">
        <v>657.0</v>
      </c>
      <c r="B659" s="13"/>
      <c r="C659" s="9" t="str">
        <f t="array" ref="C659">IFERROR(INDEX(Data!F:F, MATCH($E659, Data!$B:$B, 0)), "")</f>
        <v/>
      </c>
      <c r="D659" s="9" t="str">
        <f t="array" ref="D659">IFERROR(INDEX(Data!A:A, MATCH($E659, Data!$B:$B, 0)), "")</f>
        <v/>
      </c>
      <c r="E659" s="9" t="str">
        <f>LARGE(Data!$B$2:$B1000,A659 )</f>
        <v>#NUM!</v>
      </c>
      <c r="F659" s="9" t="str">
        <f t="array" ref="F659">IFERROR(INDEX(Data!C:C, MATCH($E659, Data!$B:$B, 0)), "")</f>
        <v/>
      </c>
      <c r="G659" s="9" t="str">
        <f t="array" ref="G659">IFERROR(INDEX(Data!D:D, MATCH($E659, Data!$B:$B, 0)), "")</f>
        <v/>
      </c>
      <c r="H659" s="9" t="str">
        <f t="array" ref="H659">IFERROR(INDEX(Data!E:E, MATCH($E659, Data!$B:$B, 0)), "")</f>
        <v/>
      </c>
      <c r="I659" s="9" t="str">
        <f t="shared" si="1"/>
        <v/>
      </c>
      <c r="J659" s="9" t="str">
        <f t="shared" si="2"/>
        <v>#REF!</v>
      </c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12">
        <v>658.0</v>
      </c>
      <c r="B660" s="13"/>
      <c r="C660" s="9" t="str">
        <f t="array" ref="C660">IFERROR(INDEX(Data!F:F, MATCH($E660, Data!$B:$B, 0)), "")</f>
        <v/>
      </c>
      <c r="D660" s="9" t="str">
        <f t="array" ref="D660">IFERROR(INDEX(Data!A:A, MATCH($E660, Data!$B:$B, 0)), "")</f>
        <v/>
      </c>
      <c r="E660" s="9" t="str">
        <f>LARGE(Data!$B$2:$B1000,A660 )</f>
        <v>#NUM!</v>
      </c>
      <c r="F660" s="9" t="str">
        <f t="array" ref="F660">IFERROR(INDEX(Data!C:C, MATCH($E660, Data!$B:$B, 0)), "")</f>
        <v/>
      </c>
      <c r="G660" s="9" t="str">
        <f t="array" ref="G660">IFERROR(INDEX(Data!D:D, MATCH($E660, Data!$B:$B, 0)), "")</f>
        <v/>
      </c>
      <c r="H660" s="9" t="str">
        <f t="array" ref="H660">IFERROR(INDEX(Data!E:E, MATCH($E660, Data!$B:$B, 0)), "")</f>
        <v/>
      </c>
      <c r="I660" s="9" t="str">
        <f t="shared" si="1"/>
        <v/>
      </c>
      <c r="J660" s="9" t="str">
        <f t="shared" si="2"/>
        <v>#REF!</v>
      </c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12">
        <v>659.0</v>
      </c>
      <c r="B661" s="13"/>
      <c r="C661" s="9" t="str">
        <f t="array" ref="C661">IFERROR(INDEX(Data!F:F, MATCH($E661, Data!$B:$B, 0)), "")</f>
        <v/>
      </c>
      <c r="D661" s="9" t="str">
        <f t="array" ref="D661">IFERROR(INDEX(Data!A:A, MATCH($E661, Data!$B:$B, 0)), "")</f>
        <v/>
      </c>
      <c r="E661" s="9" t="str">
        <f>LARGE(Data!$B$2:$B1000,A661 )</f>
        <v>#NUM!</v>
      </c>
      <c r="F661" s="9" t="str">
        <f t="array" ref="F661">IFERROR(INDEX(Data!C:C, MATCH($E661, Data!$B:$B, 0)), "")</f>
        <v/>
      </c>
      <c r="G661" s="9" t="str">
        <f t="array" ref="G661">IFERROR(INDEX(Data!D:D, MATCH($E661, Data!$B:$B, 0)), "")</f>
        <v/>
      </c>
      <c r="H661" s="9" t="str">
        <f t="array" ref="H661">IFERROR(INDEX(Data!E:E, MATCH($E661, Data!$B:$B, 0)), "")</f>
        <v/>
      </c>
      <c r="I661" s="9" t="str">
        <f t="shared" si="1"/>
        <v/>
      </c>
      <c r="J661" s="9" t="str">
        <f t="shared" si="2"/>
        <v>#REF!</v>
      </c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12">
        <v>660.0</v>
      </c>
      <c r="B662" s="13"/>
      <c r="C662" s="9" t="str">
        <f t="array" ref="C662">IFERROR(INDEX(Data!F:F, MATCH($E662, Data!$B:$B, 0)), "")</f>
        <v/>
      </c>
      <c r="D662" s="9" t="str">
        <f t="array" ref="D662">IFERROR(INDEX(Data!A:A, MATCH($E662, Data!$B:$B, 0)), "")</f>
        <v/>
      </c>
      <c r="E662" s="9" t="str">
        <f>LARGE(Data!$B$2:$B1000,A662 )</f>
        <v>#NUM!</v>
      </c>
      <c r="F662" s="9" t="str">
        <f t="array" ref="F662">IFERROR(INDEX(Data!C:C, MATCH($E662, Data!$B:$B, 0)), "")</f>
        <v/>
      </c>
      <c r="G662" s="9" t="str">
        <f t="array" ref="G662">IFERROR(INDEX(Data!D:D, MATCH($E662, Data!$B:$B, 0)), "")</f>
        <v/>
      </c>
      <c r="H662" s="9" t="str">
        <f t="array" ref="H662">IFERROR(INDEX(Data!E:E, MATCH($E662, Data!$B:$B, 0)), "")</f>
        <v/>
      </c>
      <c r="I662" s="9" t="str">
        <f t="shared" si="1"/>
        <v/>
      </c>
      <c r="J662" s="9" t="str">
        <f t="shared" si="2"/>
        <v>#REF!</v>
      </c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12">
        <v>661.0</v>
      </c>
      <c r="B663" s="13"/>
      <c r="C663" s="9" t="str">
        <f t="array" ref="C663">IFERROR(INDEX(Data!F:F, MATCH($E663, Data!$B:$B, 0)), "")</f>
        <v/>
      </c>
      <c r="D663" s="9" t="str">
        <f t="array" ref="D663">IFERROR(INDEX(Data!A:A, MATCH($E663, Data!$B:$B, 0)), "")</f>
        <v/>
      </c>
      <c r="E663" s="9" t="str">
        <f>LARGE(Data!$B$2:$B1000,A663 )</f>
        <v>#NUM!</v>
      </c>
      <c r="F663" s="9" t="str">
        <f t="array" ref="F663">IFERROR(INDEX(Data!C:C, MATCH($E663, Data!$B:$B, 0)), "")</f>
        <v/>
      </c>
      <c r="G663" s="9" t="str">
        <f t="array" ref="G663">IFERROR(INDEX(Data!D:D, MATCH($E663, Data!$B:$B, 0)), "")</f>
        <v/>
      </c>
      <c r="H663" s="9" t="str">
        <f t="array" ref="H663">IFERROR(INDEX(Data!E:E, MATCH($E663, Data!$B:$B, 0)), "")</f>
        <v/>
      </c>
      <c r="I663" s="9" t="str">
        <f t="shared" si="1"/>
        <v/>
      </c>
      <c r="J663" s="9" t="str">
        <f t="shared" si="2"/>
        <v>#REF!</v>
      </c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12">
        <v>662.0</v>
      </c>
      <c r="B664" s="13"/>
      <c r="C664" s="9" t="str">
        <f t="array" ref="C664">IFERROR(INDEX(Data!F:F, MATCH($E664, Data!$B:$B, 0)), "")</f>
        <v/>
      </c>
      <c r="D664" s="9" t="str">
        <f t="array" ref="D664">IFERROR(INDEX(Data!A:A, MATCH($E664, Data!$B:$B, 0)), "")</f>
        <v/>
      </c>
      <c r="E664" s="9" t="str">
        <f>LARGE(Data!$B$2:$B1000,A664 )</f>
        <v>#NUM!</v>
      </c>
      <c r="F664" s="9" t="str">
        <f t="array" ref="F664">IFERROR(INDEX(Data!C:C, MATCH($E664, Data!$B:$B, 0)), "")</f>
        <v/>
      </c>
      <c r="G664" s="9" t="str">
        <f t="array" ref="G664">IFERROR(INDEX(Data!D:D, MATCH($E664, Data!$B:$B, 0)), "")</f>
        <v/>
      </c>
      <c r="H664" s="9" t="str">
        <f t="array" ref="H664">IFERROR(INDEX(Data!E:E, MATCH($E664, Data!$B:$B, 0)), "")</f>
        <v/>
      </c>
      <c r="I664" s="9" t="str">
        <f t="shared" si="1"/>
        <v/>
      </c>
      <c r="J664" s="9" t="str">
        <f t="shared" si="2"/>
        <v>#REF!</v>
      </c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12">
        <v>663.0</v>
      </c>
      <c r="B665" s="13"/>
      <c r="C665" s="9" t="str">
        <f t="array" ref="C665">IFERROR(INDEX(Data!F:F, MATCH($E665, Data!$B:$B, 0)), "")</f>
        <v/>
      </c>
      <c r="D665" s="9" t="str">
        <f t="array" ref="D665">IFERROR(INDEX(Data!A:A, MATCH($E665, Data!$B:$B, 0)), "")</f>
        <v/>
      </c>
      <c r="E665" s="9" t="str">
        <f>LARGE(Data!$B$2:$B1000,A665 )</f>
        <v>#NUM!</v>
      </c>
      <c r="F665" s="9" t="str">
        <f t="array" ref="F665">IFERROR(INDEX(Data!C:C, MATCH($E665, Data!$B:$B, 0)), "")</f>
        <v/>
      </c>
      <c r="G665" s="9" t="str">
        <f t="array" ref="G665">IFERROR(INDEX(Data!D:D, MATCH($E665, Data!$B:$B, 0)), "")</f>
        <v/>
      </c>
      <c r="H665" s="9" t="str">
        <f t="array" ref="H665">IFERROR(INDEX(Data!E:E, MATCH($E665, Data!$B:$B, 0)), "")</f>
        <v/>
      </c>
      <c r="I665" s="9" t="str">
        <f t="shared" si="1"/>
        <v/>
      </c>
      <c r="J665" s="9" t="str">
        <f t="shared" si="2"/>
        <v>#REF!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12">
        <v>664.0</v>
      </c>
      <c r="B666" s="13"/>
      <c r="C666" s="9" t="str">
        <f t="array" ref="C666">IFERROR(INDEX(Data!F:F, MATCH($E666, Data!$B:$B, 0)), "")</f>
        <v/>
      </c>
      <c r="D666" s="9" t="str">
        <f t="array" ref="D666">IFERROR(INDEX(Data!A:A, MATCH($E666, Data!$B:$B, 0)), "")</f>
        <v/>
      </c>
      <c r="E666" s="9" t="str">
        <f>LARGE(Data!$B$2:$B1000,A666 )</f>
        <v>#NUM!</v>
      </c>
      <c r="F666" s="9" t="str">
        <f t="array" ref="F666">IFERROR(INDEX(Data!C:C, MATCH($E666, Data!$B:$B, 0)), "")</f>
        <v/>
      </c>
      <c r="G666" s="9" t="str">
        <f t="array" ref="G666">IFERROR(INDEX(Data!D:D, MATCH($E666, Data!$B:$B, 0)), "")</f>
        <v/>
      </c>
      <c r="H666" s="9" t="str">
        <f t="array" ref="H666">IFERROR(INDEX(Data!E:E, MATCH($E666, Data!$B:$B, 0)), "")</f>
        <v/>
      </c>
      <c r="I666" s="9" t="str">
        <f t="shared" si="1"/>
        <v/>
      </c>
      <c r="J666" s="9" t="str">
        <f t="shared" si="2"/>
        <v>#REF!</v>
      </c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12">
        <v>665.0</v>
      </c>
      <c r="B667" s="13"/>
      <c r="C667" s="9" t="str">
        <f t="array" ref="C667">IFERROR(INDEX(Data!F:F, MATCH($E667, Data!$B:$B, 0)), "")</f>
        <v/>
      </c>
      <c r="D667" s="9" t="str">
        <f t="array" ref="D667">IFERROR(INDEX(Data!A:A, MATCH($E667, Data!$B:$B, 0)), "")</f>
        <v/>
      </c>
      <c r="E667" s="9" t="str">
        <f>LARGE(Data!$B$2:$B1000,A667 )</f>
        <v>#NUM!</v>
      </c>
      <c r="F667" s="9" t="str">
        <f t="array" ref="F667">IFERROR(INDEX(Data!C:C, MATCH($E667, Data!$B:$B, 0)), "")</f>
        <v/>
      </c>
      <c r="G667" s="9" t="str">
        <f t="array" ref="G667">IFERROR(INDEX(Data!D:D, MATCH($E667, Data!$B:$B, 0)), "")</f>
        <v/>
      </c>
      <c r="H667" s="9" t="str">
        <f t="array" ref="H667">IFERROR(INDEX(Data!E:E, MATCH($E667, Data!$B:$B, 0)), "")</f>
        <v/>
      </c>
      <c r="I667" s="9" t="str">
        <f t="shared" si="1"/>
        <v/>
      </c>
      <c r="J667" s="9" t="str">
        <f t="shared" si="2"/>
        <v>#REF!</v>
      </c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12">
        <v>666.0</v>
      </c>
      <c r="B668" s="13"/>
      <c r="C668" s="9" t="str">
        <f t="array" ref="C668">IFERROR(INDEX(Data!F:F, MATCH($E668, Data!$B:$B, 0)), "")</f>
        <v/>
      </c>
      <c r="D668" s="9" t="str">
        <f t="array" ref="D668">IFERROR(INDEX(Data!A:A, MATCH($E668, Data!$B:$B, 0)), "")</f>
        <v/>
      </c>
      <c r="E668" s="9" t="str">
        <f>LARGE(Data!$B$2:$B1000,A668 )</f>
        <v>#NUM!</v>
      </c>
      <c r="F668" s="9" t="str">
        <f t="array" ref="F668">IFERROR(INDEX(Data!C:C, MATCH($E668, Data!$B:$B, 0)), "")</f>
        <v/>
      </c>
      <c r="G668" s="9" t="str">
        <f t="array" ref="G668">IFERROR(INDEX(Data!D:D, MATCH($E668, Data!$B:$B, 0)), "")</f>
        <v/>
      </c>
      <c r="H668" s="9" t="str">
        <f t="array" ref="H668">IFERROR(INDEX(Data!E:E, MATCH($E668, Data!$B:$B, 0)), "")</f>
        <v/>
      </c>
      <c r="I668" s="9" t="str">
        <f t="shared" si="1"/>
        <v/>
      </c>
      <c r="J668" s="9" t="str">
        <f t="shared" si="2"/>
        <v>#REF!</v>
      </c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12">
        <v>667.0</v>
      </c>
      <c r="B669" s="13"/>
      <c r="C669" s="9" t="str">
        <f t="array" ref="C669">IFERROR(INDEX(Data!F:F, MATCH($E669, Data!$B:$B, 0)), "")</f>
        <v/>
      </c>
      <c r="D669" s="9" t="str">
        <f t="array" ref="D669">IFERROR(INDEX(Data!A:A, MATCH($E669, Data!$B:$B, 0)), "")</f>
        <v/>
      </c>
      <c r="E669" s="9" t="str">
        <f>LARGE(Data!$B$2:$B1000,A669 )</f>
        <v>#NUM!</v>
      </c>
      <c r="F669" s="9" t="str">
        <f t="array" ref="F669">IFERROR(INDEX(Data!C:C, MATCH($E669, Data!$B:$B, 0)), "")</f>
        <v/>
      </c>
      <c r="G669" s="9" t="str">
        <f t="array" ref="G669">IFERROR(INDEX(Data!D:D, MATCH($E669, Data!$B:$B, 0)), "")</f>
        <v/>
      </c>
      <c r="H669" s="9" t="str">
        <f t="array" ref="H669">IFERROR(INDEX(Data!E:E, MATCH($E669, Data!$B:$B, 0)), "")</f>
        <v/>
      </c>
      <c r="I669" s="9" t="str">
        <f t="shared" si="1"/>
        <v/>
      </c>
      <c r="J669" s="9" t="str">
        <f t="shared" si="2"/>
        <v>#REF!</v>
      </c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12">
        <v>668.0</v>
      </c>
      <c r="B670" s="13"/>
      <c r="C670" s="9" t="str">
        <f t="array" ref="C670">IFERROR(INDEX(Data!F:F, MATCH($E670, Data!$B:$B, 0)), "")</f>
        <v/>
      </c>
      <c r="D670" s="9" t="str">
        <f t="array" ref="D670">IFERROR(INDEX(Data!A:A, MATCH($E670, Data!$B:$B, 0)), "")</f>
        <v/>
      </c>
      <c r="E670" s="9" t="str">
        <f>LARGE(Data!$B$2:$B1000,A670 )</f>
        <v>#NUM!</v>
      </c>
      <c r="F670" s="9" t="str">
        <f t="array" ref="F670">IFERROR(INDEX(Data!C:C, MATCH($E670, Data!$B:$B, 0)), "")</f>
        <v/>
      </c>
      <c r="G670" s="9" t="str">
        <f t="array" ref="G670">IFERROR(INDEX(Data!D:D, MATCH($E670, Data!$B:$B, 0)), "")</f>
        <v/>
      </c>
      <c r="H670" s="9" t="str">
        <f t="array" ref="H670">IFERROR(INDEX(Data!E:E, MATCH($E670, Data!$B:$B, 0)), "")</f>
        <v/>
      </c>
      <c r="I670" s="9" t="str">
        <f t="shared" si="1"/>
        <v/>
      </c>
      <c r="J670" s="9" t="str">
        <f t="shared" si="2"/>
        <v>#REF!</v>
      </c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12">
        <v>669.0</v>
      </c>
      <c r="B671" s="13"/>
      <c r="C671" s="9" t="str">
        <f t="array" ref="C671">IFERROR(INDEX(Data!F:F, MATCH($E671, Data!$B:$B, 0)), "")</f>
        <v/>
      </c>
      <c r="D671" s="9" t="str">
        <f t="array" ref="D671">IFERROR(INDEX(Data!A:A, MATCH($E671, Data!$B:$B, 0)), "")</f>
        <v/>
      </c>
      <c r="E671" s="9" t="str">
        <f>LARGE(Data!$B$2:$B1000,A671 )</f>
        <v>#NUM!</v>
      </c>
      <c r="F671" s="9" t="str">
        <f t="array" ref="F671">IFERROR(INDEX(Data!C:C, MATCH($E671, Data!$B:$B, 0)), "")</f>
        <v/>
      </c>
      <c r="G671" s="9" t="str">
        <f t="array" ref="G671">IFERROR(INDEX(Data!D:D, MATCH($E671, Data!$B:$B, 0)), "")</f>
        <v/>
      </c>
      <c r="H671" s="9" t="str">
        <f t="array" ref="H671">IFERROR(INDEX(Data!E:E, MATCH($E671, Data!$B:$B, 0)), "")</f>
        <v/>
      </c>
      <c r="I671" s="9" t="str">
        <f t="shared" si="1"/>
        <v/>
      </c>
      <c r="J671" s="9" t="str">
        <f t="shared" si="2"/>
        <v>#REF!</v>
      </c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12">
        <v>670.0</v>
      </c>
      <c r="B672" s="13"/>
      <c r="C672" s="9" t="str">
        <f t="array" ref="C672">IFERROR(INDEX(Data!F:F, MATCH($E672, Data!$B:$B, 0)), "")</f>
        <v/>
      </c>
      <c r="D672" s="9" t="str">
        <f t="array" ref="D672">IFERROR(INDEX(Data!A:A, MATCH($E672, Data!$B:$B, 0)), "")</f>
        <v/>
      </c>
      <c r="E672" s="9" t="str">
        <f>LARGE(Data!$B$2:$B1000,A672 )</f>
        <v>#NUM!</v>
      </c>
      <c r="F672" s="9" t="str">
        <f t="array" ref="F672">IFERROR(INDEX(Data!C:C, MATCH($E672, Data!$B:$B, 0)), "")</f>
        <v/>
      </c>
      <c r="G672" s="9" t="str">
        <f t="array" ref="G672">IFERROR(INDEX(Data!D:D, MATCH($E672, Data!$B:$B, 0)), "")</f>
        <v/>
      </c>
      <c r="H672" s="9" t="str">
        <f t="array" ref="H672">IFERROR(INDEX(Data!E:E, MATCH($E672, Data!$B:$B, 0)), "")</f>
        <v/>
      </c>
      <c r="I672" s="9" t="str">
        <f t="shared" si="1"/>
        <v/>
      </c>
      <c r="J672" s="9" t="str">
        <f t="shared" si="2"/>
        <v>#REF!</v>
      </c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12">
        <v>671.0</v>
      </c>
      <c r="B673" s="13"/>
      <c r="C673" s="9" t="str">
        <f t="array" ref="C673">IFERROR(INDEX(Data!F:F, MATCH($E673, Data!$B:$B, 0)), "")</f>
        <v/>
      </c>
      <c r="D673" s="9" t="str">
        <f t="array" ref="D673">IFERROR(INDEX(Data!A:A, MATCH($E673, Data!$B:$B, 0)), "")</f>
        <v/>
      </c>
      <c r="E673" s="9" t="str">
        <f>LARGE(Data!$B$2:$B1000,A673 )</f>
        <v>#NUM!</v>
      </c>
      <c r="F673" s="9" t="str">
        <f t="array" ref="F673">IFERROR(INDEX(Data!C:C, MATCH($E673, Data!$B:$B, 0)), "")</f>
        <v/>
      </c>
      <c r="G673" s="9" t="str">
        <f t="array" ref="G673">IFERROR(INDEX(Data!D:D, MATCH($E673, Data!$B:$B, 0)), "")</f>
        <v/>
      </c>
      <c r="H673" s="9" t="str">
        <f t="array" ref="H673">IFERROR(INDEX(Data!E:E, MATCH($E673, Data!$B:$B, 0)), "")</f>
        <v/>
      </c>
      <c r="I673" s="9" t="str">
        <f t="shared" si="1"/>
        <v/>
      </c>
      <c r="J673" s="9" t="str">
        <f t="shared" si="2"/>
        <v>#REF!</v>
      </c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12">
        <v>672.0</v>
      </c>
      <c r="B674" s="13"/>
      <c r="C674" s="9" t="str">
        <f t="array" ref="C674">IFERROR(INDEX(Data!F:F, MATCH($E674, Data!$B:$B, 0)), "")</f>
        <v/>
      </c>
      <c r="D674" s="9" t="str">
        <f t="array" ref="D674">IFERROR(INDEX(Data!A:A, MATCH($E674, Data!$B:$B, 0)), "")</f>
        <v/>
      </c>
      <c r="E674" s="9" t="str">
        <f>LARGE(Data!$B$2:$B1000,A674 )</f>
        <v>#NUM!</v>
      </c>
      <c r="F674" s="9" t="str">
        <f t="array" ref="F674">IFERROR(INDEX(Data!C:C, MATCH($E674, Data!$B:$B, 0)), "")</f>
        <v/>
      </c>
      <c r="G674" s="9" t="str">
        <f t="array" ref="G674">IFERROR(INDEX(Data!D:D, MATCH($E674, Data!$B:$B, 0)), "")</f>
        <v/>
      </c>
      <c r="H674" s="9" t="str">
        <f t="array" ref="H674">IFERROR(INDEX(Data!E:E, MATCH($E674, Data!$B:$B, 0)), "")</f>
        <v/>
      </c>
      <c r="I674" s="9" t="str">
        <f t="shared" si="1"/>
        <v/>
      </c>
      <c r="J674" s="9" t="str">
        <f t="shared" si="2"/>
        <v>#REF!</v>
      </c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12">
        <v>673.0</v>
      </c>
      <c r="B675" s="13"/>
      <c r="C675" s="9" t="str">
        <f t="array" ref="C675">IFERROR(INDEX(Data!F:F, MATCH($E675, Data!$B:$B, 0)), "")</f>
        <v/>
      </c>
      <c r="D675" s="9" t="str">
        <f t="array" ref="D675">IFERROR(INDEX(Data!A:A, MATCH($E675, Data!$B:$B, 0)), "")</f>
        <v/>
      </c>
      <c r="E675" s="9" t="str">
        <f>LARGE(Data!$B$2:$B1000,A675 )</f>
        <v>#NUM!</v>
      </c>
      <c r="F675" s="9" t="str">
        <f t="array" ref="F675">IFERROR(INDEX(Data!C:C, MATCH($E675, Data!$B:$B, 0)), "")</f>
        <v/>
      </c>
      <c r="G675" s="9" t="str">
        <f t="array" ref="G675">IFERROR(INDEX(Data!D:D, MATCH($E675, Data!$B:$B, 0)), "")</f>
        <v/>
      </c>
      <c r="H675" s="9" t="str">
        <f t="array" ref="H675">IFERROR(INDEX(Data!E:E, MATCH($E675, Data!$B:$B, 0)), "")</f>
        <v/>
      </c>
      <c r="I675" s="9" t="str">
        <f t="shared" si="1"/>
        <v/>
      </c>
      <c r="J675" s="9" t="str">
        <f t="shared" si="2"/>
        <v>#REF!</v>
      </c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12">
        <v>674.0</v>
      </c>
      <c r="B676" s="13"/>
      <c r="C676" s="9" t="str">
        <f t="array" ref="C676">IFERROR(INDEX(Data!F:F, MATCH($E676, Data!$B:$B, 0)), "")</f>
        <v/>
      </c>
      <c r="D676" s="9" t="str">
        <f t="array" ref="D676">IFERROR(INDEX(Data!A:A, MATCH($E676, Data!$B:$B, 0)), "")</f>
        <v/>
      </c>
      <c r="E676" s="9" t="str">
        <f>LARGE(Data!$B$2:$B1000,A676 )</f>
        <v>#NUM!</v>
      </c>
      <c r="F676" s="9" t="str">
        <f t="array" ref="F676">IFERROR(INDEX(Data!C:C, MATCH($E676, Data!$B:$B, 0)), "")</f>
        <v/>
      </c>
      <c r="G676" s="9" t="str">
        <f t="array" ref="G676">IFERROR(INDEX(Data!D:D, MATCH($E676, Data!$B:$B, 0)), "")</f>
        <v/>
      </c>
      <c r="H676" s="9" t="str">
        <f t="array" ref="H676">IFERROR(INDEX(Data!E:E, MATCH($E676, Data!$B:$B, 0)), "")</f>
        <v/>
      </c>
      <c r="I676" s="9" t="str">
        <f t="shared" si="1"/>
        <v/>
      </c>
      <c r="J676" s="9" t="str">
        <f t="shared" si="2"/>
        <v>#REF!</v>
      </c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12">
        <v>675.0</v>
      </c>
      <c r="B677" s="13"/>
      <c r="C677" s="9" t="str">
        <f t="array" ref="C677">IFERROR(INDEX(Data!F:F, MATCH($E677, Data!$B:$B, 0)), "")</f>
        <v/>
      </c>
      <c r="D677" s="9" t="str">
        <f t="array" ref="D677">IFERROR(INDEX(Data!A:A, MATCH($E677, Data!$B:$B, 0)), "")</f>
        <v/>
      </c>
      <c r="E677" s="9" t="str">
        <f>LARGE(Data!$B$2:$B1000,A677 )</f>
        <v>#NUM!</v>
      </c>
      <c r="F677" s="9" t="str">
        <f t="array" ref="F677">IFERROR(INDEX(Data!C:C, MATCH($E677, Data!$B:$B, 0)), "")</f>
        <v/>
      </c>
      <c r="G677" s="9" t="str">
        <f t="array" ref="G677">IFERROR(INDEX(Data!D:D, MATCH($E677, Data!$B:$B, 0)), "")</f>
        <v/>
      </c>
      <c r="H677" s="9" t="str">
        <f t="array" ref="H677">IFERROR(INDEX(Data!E:E, MATCH($E677, Data!$B:$B, 0)), "")</f>
        <v/>
      </c>
      <c r="I677" s="9" t="str">
        <f t="shared" si="1"/>
        <v/>
      </c>
      <c r="J677" s="9" t="str">
        <f t="shared" si="2"/>
        <v>#REF!</v>
      </c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12">
        <v>676.0</v>
      </c>
      <c r="B678" s="13"/>
      <c r="C678" s="9" t="str">
        <f t="array" ref="C678">IFERROR(INDEX(Data!F:F, MATCH($E678, Data!$B:$B, 0)), "")</f>
        <v/>
      </c>
      <c r="D678" s="9" t="str">
        <f t="array" ref="D678">IFERROR(INDEX(Data!A:A, MATCH($E678, Data!$B:$B, 0)), "")</f>
        <v/>
      </c>
      <c r="E678" s="9" t="str">
        <f>LARGE(Data!$B$2:$B1000,A678 )</f>
        <v>#NUM!</v>
      </c>
      <c r="F678" s="9" t="str">
        <f t="array" ref="F678">IFERROR(INDEX(Data!C:C, MATCH($E678, Data!$B:$B, 0)), "")</f>
        <v/>
      </c>
      <c r="G678" s="9" t="str">
        <f t="array" ref="G678">IFERROR(INDEX(Data!D:D, MATCH($E678, Data!$B:$B, 0)), "")</f>
        <v/>
      </c>
      <c r="H678" s="9" t="str">
        <f t="array" ref="H678">IFERROR(INDEX(Data!E:E, MATCH($E678, Data!$B:$B, 0)), "")</f>
        <v/>
      </c>
      <c r="I678" s="9" t="str">
        <f t="shared" si="1"/>
        <v/>
      </c>
      <c r="J678" s="9" t="str">
        <f t="shared" si="2"/>
        <v>#REF!</v>
      </c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12">
        <v>677.0</v>
      </c>
      <c r="B679" s="13"/>
      <c r="C679" s="9" t="str">
        <f t="array" ref="C679">IFERROR(INDEX(Data!F:F, MATCH($E679, Data!$B:$B, 0)), "")</f>
        <v/>
      </c>
      <c r="D679" s="9" t="str">
        <f t="array" ref="D679">IFERROR(INDEX(Data!A:A, MATCH($E679, Data!$B:$B, 0)), "")</f>
        <v/>
      </c>
      <c r="E679" s="9" t="str">
        <f>LARGE(Data!$B$2:$B1000,A679 )</f>
        <v>#NUM!</v>
      </c>
      <c r="F679" s="9" t="str">
        <f t="array" ref="F679">IFERROR(INDEX(Data!C:C, MATCH($E679, Data!$B:$B, 0)), "")</f>
        <v/>
      </c>
      <c r="G679" s="9" t="str">
        <f t="array" ref="G679">IFERROR(INDEX(Data!D:D, MATCH($E679, Data!$B:$B, 0)), "")</f>
        <v/>
      </c>
      <c r="H679" s="9" t="str">
        <f t="array" ref="H679">IFERROR(INDEX(Data!E:E, MATCH($E679, Data!$B:$B, 0)), "")</f>
        <v/>
      </c>
      <c r="I679" s="9" t="str">
        <f t="shared" si="1"/>
        <v/>
      </c>
      <c r="J679" s="9" t="str">
        <f t="shared" si="2"/>
        <v>#REF!</v>
      </c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12">
        <v>678.0</v>
      </c>
      <c r="B680" s="13"/>
      <c r="C680" s="9" t="str">
        <f t="array" ref="C680">IFERROR(INDEX(Data!F:F, MATCH($E680, Data!$B:$B, 0)), "")</f>
        <v/>
      </c>
      <c r="D680" s="9" t="str">
        <f t="array" ref="D680">IFERROR(INDEX(Data!A:A, MATCH($E680, Data!$B:$B, 0)), "")</f>
        <v/>
      </c>
      <c r="E680" s="9" t="str">
        <f>LARGE(Data!$B$2:$B1000,A680 )</f>
        <v>#NUM!</v>
      </c>
      <c r="F680" s="9" t="str">
        <f t="array" ref="F680">IFERROR(INDEX(Data!C:C, MATCH($E680, Data!$B:$B, 0)), "")</f>
        <v/>
      </c>
      <c r="G680" s="9" t="str">
        <f t="array" ref="G680">IFERROR(INDEX(Data!D:D, MATCH($E680, Data!$B:$B, 0)), "")</f>
        <v/>
      </c>
      <c r="H680" s="9" t="str">
        <f t="array" ref="H680">IFERROR(INDEX(Data!E:E, MATCH($E680, Data!$B:$B, 0)), "")</f>
        <v/>
      </c>
      <c r="I680" s="9" t="str">
        <f t="shared" si="1"/>
        <v/>
      </c>
      <c r="J680" s="9" t="str">
        <f t="shared" si="2"/>
        <v>#REF!</v>
      </c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12">
        <v>679.0</v>
      </c>
      <c r="B681" s="13"/>
      <c r="C681" s="9" t="str">
        <f t="array" ref="C681">IFERROR(INDEX(Data!F:F, MATCH($E681, Data!$B:$B, 0)), "")</f>
        <v/>
      </c>
      <c r="D681" s="9" t="str">
        <f t="array" ref="D681">IFERROR(INDEX(Data!A:A, MATCH($E681, Data!$B:$B, 0)), "")</f>
        <v/>
      </c>
      <c r="E681" s="9" t="str">
        <f>LARGE(Data!$B$2:$B1000,A681 )</f>
        <v>#NUM!</v>
      </c>
      <c r="F681" s="9" t="str">
        <f t="array" ref="F681">IFERROR(INDEX(Data!C:C, MATCH($E681, Data!$B:$B, 0)), "")</f>
        <v/>
      </c>
      <c r="G681" s="9" t="str">
        <f t="array" ref="G681">IFERROR(INDEX(Data!D:D, MATCH($E681, Data!$B:$B, 0)), "")</f>
        <v/>
      </c>
      <c r="H681" s="9" t="str">
        <f t="array" ref="H681">IFERROR(INDEX(Data!E:E, MATCH($E681, Data!$B:$B, 0)), "")</f>
        <v/>
      </c>
      <c r="I681" s="9" t="str">
        <f t="shared" si="1"/>
        <v/>
      </c>
      <c r="J681" s="9" t="str">
        <f t="shared" si="2"/>
        <v>#REF!</v>
      </c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12">
        <v>680.0</v>
      </c>
      <c r="B682" s="13"/>
      <c r="C682" s="9" t="str">
        <f t="array" ref="C682">IFERROR(INDEX(Data!F:F, MATCH($E682, Data!$B:$B, 0)), "")</f>
        <v/>
      </c>
      <c r="D682" s="9" t="str">
        <f t="array" ref="D682">IFERROR(INDEX(Data!A:A, MATCH($E682, Data!$B:$B, 0)), "")</f>
        <v/>
      </c>
      <c r="E682" s="9" t="str">
        <f>LARGE(Data!$B$2:$B1000,A682 )</f>
        <v>#NUM!</v>
      </c>
      <c r="F682" s="9" t="str">
        <f t="array" ref="F682">IFERROR(INDEX(Data!C:C, MATCH($E682, Data!$B:$B, 0)), "")</f>
        <v/>
      </c>
      <c r="G682" s="9" t="str">
        <f t="array" ref="G682">IFERROR(INDEX(Data!D:D, MATCH($E682, Data!$B:$B, 0)), "")</f>
        <v/>
      </c>
      <c r="H682" s="9" t="str">
        <f t="array" ref="H682">IFERROR(INDEX(Data!E:E, MATCH($E682, Data!$B:$B, 0)), "")</f>
        <v/>
      </c>
      <c r="I682" s="9" t="str">
        <f t="shared" si="1"/>
        <v/>
      </c>
      <c r="J682" s="9" t="str">
        <f t="shared" si="2"/>
        <v>#REF!</v>
      </c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12">
        <v>681.0</v>
      </c>
      <c r="B683" s="13"/>
      <c r="C683" s="9" t="str">
        <f t="array" ref="C683">IFERROR(INDEX(Data!F:F, MATCH($E683, Data!$B:$B, 0)), "")</f>
        <v/>
      </c>
      <c r="D683" s="9" t="str">
        <f t="array" ref="D683">IFERROR(INDEX(Data!A:A, MATCH($E683, Data!$B:$B, 0)), "")</f>
        <v/>
      </c>
      <c r="E683" s="9" t="str">
        <f>LARGE(Data!$B$2:$B1000,A683 )</f>
        <v>#NUM!</v>
      </c>
      <c r="F683" s="9" t="str">
        <f t="array" ref="F683">IFERROR(INDEX(Data!C:C, MATCH($E683, Data!$B:$B, 0)), "")</f>
        <v/>
      </c>
      <c r="G683" s="9" t="str">
        <f t="array" ref="G683">IFERROR(INDEX(Data!D:D, MATCH($E683, Data!$B:$B, 0)), "")</f>
        <v/>
      </c>
      <c r="H683" s="9" t="str">
        <f t="array" ref="H683">IFERROR(INDEX(Data!E:E, MATCH($E683, Data!$B:$B, 0)), "")</f>
        <v/>
      </c>
      <c r="I683" s="9" t="str">
        <f t="shared" si="1"/>
        <v/>
      </c>
      <c r="J683" s="9" t="str">
        <f t="shared" si="2"/>
        <v>#REF!</v>
      </c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12">
        <v>682.0</v>
      </c>
      <c r="B684" s="13"/>
      <c r="C684" s="9" t="str">
        <f t="array" ref="C684">IFERROR(INDEX(Data!F:F, MATCH($E684, Data!$B:$B, 0)), "")</f>
        <v/>
      </c>
      <c r="D684" s="9" t="str">
        <f t="array" ref="D684">IFERROR(INDEX(Data!A:A, MATCH($E684, Data!$B:$B, 0)), "")</f>
        <v/>
      </c>
      <c r="E684" s="9" t="str">
        <f>LARGE(Data!$B$2:$B1000,A684 )</f>
        <v>#NUM!</v>
      </c>
      <c r="F684" s="9" t="str">
        <f t="array" ref="F684">IFERROR(INDEX(Data!C:C, MATCH($E684, Data!$B:$B, 0)), "")</f>
        <v/>
      </c>
      <c r="G684" s="9" t="str">
        <f t="array" ref="G684">IFERROR(INDEX(Data!D:D, MATCH($E684, Data!$B:$B, 0)), "")</f>
        <v/>
      </c>
      <c r="H684" s="9" t="str">
        <f t="array" ref="H684">IFERROR(INDEX(Data!E:E, MATCH($E684, Data!$B:$B, 0)), "")</f>
        <v/>
      </c>
      <c r="I684" s="9" t="str">
        <f t="shared" si="1"/>
        <v/>
      </c>
      <c r="J684" s="9" t="str">
        <f t="shared" si="2"/>
        <v>#REF!</v>
      </c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12">
        <v>683.0</v>
      </c>
      <c r="B685" s="13"/>
      <c r="C685" s="9" t="str">
        <f t="array" ref="C685">IFERROR(INDEX(Data!F:F, MATCH($E685, Data!$B:$B, 0)), "")</f>
        <v/>
      </c>
      <c r="D685" s="9" t="str">
        <f t="array" ref="D685">IFERROR(INDEX(Data!A:A, MATCH($E685, Data!$B:$B, 0)), "")</f>
        <v/>
      </c>
      <c r="E685" s="9" t="str">
        <f>LARGE(Data!$B$2:$B1000,A685 )</f>
        <v>#NUM!</v>
      </c>
      <c r="F685" s="9" t="str">
        <f t="array" ref="F685">IFERROR(INDEX(Data!C:C, MATCH($E685, Data!$B:$B, 0)), "")</f>
        <v/>
      </c>
      <c r="G685" s="9" t="str">
        <f t="array" ref="G685">IFERROR(INDEX(Data!D:D, MATCH($E685, Data!$B:$B, 0)), "")</f>
        <v/>
      </c>
      <c r="H685" s="9" t="str">
        <f t="array" ref="H685">IFERROR(INDEX(Data!E:E, MATCH($E685, Data!$B:$B, 0)), "")</f>
        <v/>
      </c>
      <c r="I685" s="9" t="str">
        <f t="shared" si="1"/>
        <v/>
      </c>
      <c r="J685" s="9" t="str">
        <f t="shared" si="2"/>
        <v>#REF!</v>
      </c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12">
        <v>684.0</v>
      </c>
      <c r="B686" s="13"/>
      <c r="C686" s="9" t="str">
        <f t="array" ref="C686">IFERROR(INDEX(Data!F:F, MATCH($E686, Data!$B:$B, 0)), "")</f>
        <v/>
      </c>
      <c r="D686" s="9" t="str">
        <f t="array" ref="D686">IFERROR(INDEX(Data!A:A, MATCH($E686, Data!$B:$B, 0)), "")</f>
        <v/>
      </c>
      <c r="E686" s="9" t="str">
        <f>LARGE(Data!$B$2:$B1000,A686 )</f>
        <v>#NUM!</v>
      </c>
      <c r="F686" s="9" t="str">
        <f t="array" ref="F686">IFERROR(INDEX(Data!C:C, MATCH($E686, Data!$B:$B, 0)), "")</f>
        <v/>
      </c>
      <c r="G686" s="9" t="str">
        <f t="array" ref="G686">IFERROR(INDEX(Data!D:D, MATCH($E686, Data!$B:$B, 0)), "")</f>
        <v/>
      </c>
      <c r="H686" s="9" t="str">
        <f t="array" ref="H686">IFERROR(INDEX(Data!E:E, MATCH($E686, Data!$B:$B, 0)), "")</f>
        <v/>
      </c>
      <c r="I686" s="9" t="str">
        <f t="shared" si="1"/>
        <v/>
      </c>
      <c r="J686" s="9" t="str">
        <f t="shared" si="2"/>
        <v>#REF!</v>
      </c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12">
        <v>685.0</v>
      </c>
      <c r="B687" s="13"/>
      <c r="C687" s="9" t="str">
        <f t="array" ref="C687">IFERROR(INDEX(Data!F:F, MATCH($E687, Data!$B:$B, 0)), "")</f>
        <v/>
      </c>
      <c r="D687" s="9" t="str">
        <f t="array" ref="D687">IFERROR(INDEX(Data!A:A, MATCH($E687, Data!$B:$B, 0)), "")</f>
        <v/>
      </c>
      <c r="E687" s="9" t="str">
        <f>LARGE(Data!$B$2:$B1000,A687 )</f>
        <v>#NUM!</v>
      </c>
      <c r="F687" s="9" t="str">
        <f t="array" ref="F687">IFERROR(INDEX(Data!C:C, MATCH($E687, Data!$B:$B, 0)), "")</f>
        <v/>
      </c>
      <c r="G687" s="9" t="str">
        <f t="array" ref="G687">IFERROR(INDEX(Data!D:D, MATCH($E687, Data!$B:$B, 0)), "")</f>
        <v/>
      </c>
      <c r="H687" s="9" t="str">
        <f t="array" ref="H687">IFERROR(INDEX(Data!E:E, MATCH($E687, Data!$B:$B, 0)), "")</f>
        <v/>
      </c>
      <c r="I687" s="9" t="str">
        <f t="shared" si="1"/>
        <v/>
      </c>
      <c r="J687" s="9" t="str">
        <f t="shared" si="2"/>
        <v>#REF!</v>
      </c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12">
        <v>686.0</v>
      </c>
      <c r="B688" s="13"/>
      <c r="C688" s="9" t="str">
        <f t="array" ref="C688">IFERROR(INDEX(Data!F:F, MATCH($E688, Data!$B:$B, 0)), "")</f>
        <v/>
      </c>
      <c r="D688" s="9" t="str">
        <f t="array" ref="D688">IFERROR(INDEX(Data!A:A, MATCH($E688, Data!$B:$B, 0)), "")</f>
        <v/>
      </c>
      <c r="E688" s="9" t="str">
        <f>LARGE(Data!$B$2:$B1000,A688 )</f>
        <v>#NUM!</v>
      </c>
      <c r="F688" s="9" t="str">
        <f t="array" ref="F688">IFERROR(INDEX(Data!C:C, MATCH($E688, Data!$B:$B, 0)), "")</f>
        <v/>
      </c>
      <c r="G688" s="9" t="str">
        <f t="array" ref="G688">IFERROR(INDEX(Data!D:D, MATCH($E688, Data!$B:$B, 0)), "")</f>
        <v/>
      </c>
      <c r="H688" s="9" t="str">
        <f t="array" ref="H688">IFERROR(INDEX(Data!E:E, MATCH($E688, Data!$B:$B, 0)), "")</f>
        <v/>
      </c>
      <c r="I688" s="9" t="str">
        <f t="shared" si="1"/>
        <v/>
      </c>
      <c r="J688" s="9" t="str">
        <f t="shared" si="2"/>
        <v>#REF!</v>
      </c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12">
        <v>687.0</v>
      </c>
      <c r="B689" s="13"/>
      <c r="C689" s="9" t="str">
        <f t="array" ref="C689">IFERROR(INDEX(Data!F:F, MATCH($E689, Data!$B:$B, 0)), "")</f>
        <v/>
      </c>
      <c r="D689" s="9" t="str">
        <f t="array" ref="D689">IFERROR(INDEX(Data!A:A, MATCH($E689, Data!$B:$B, 0)), "")</f>
        <v/>
      </c>
      <c r="E689" s="9" t="str">
        <f>LARGE(Data!$B$2:$B1000,A689 )</f>
        <v>#NUM!</v>
      </c>
      <c r="F689" s="9" t="str">
        <f t="array" ref="F689">IFERROR(INDEX(Data!C:C, MATCH($E689, Data!$B:$B, 0)), "")</f>
        <v/>
      </c>
      <c r="G689" s="9" t="str">
        <f t="array" ref="G689">IFERROR(INDEX(Data!D:D, MATCH($E689, Data!$B:$B, 0)), "")</f>
        <v/>
      </c>
      <c r="H689" s="9" t="str">
        <f t="array" ref="H689">IFERROR(INDEX(Data!E:E, MATCH($E689, Data!$B:$B, 0)), "")</f>
        <v/>
      </c>
      <c r="I689" s="9" t="str">
        <f t="shared" si="1"/>
        <v/>
      </c>
      <c r="J689" s="9" t="str">
        <f t="shared" si="2"/>
        <v>#REF!</v>
      </c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12">
        <v>688.0</v>
      </c>
      <c r="B690" s="13"/>
      <c r="C690" s="9" t="str">
        <f t="array" ref="C690">IFERROR(INDEX(Data!F:F, MATCH($E690, Data!$B:$B, 0)), "")</f>
        <v/>
      </c>
      <c r="D690" s="9" t="str">
        <f t="array" ref="D690">IFERROR(INDEX(Data!A:A, MATCH($E690, Data!$B:$B, 0)), "")</f>
        <v/>
      </c>
      <c r="E690" s="9" t="str">
        <f>LARGE(Data!$B$2:$B1000,A690 )</f>
        <v>#NUM!</v>
      </c>
      <c r="F690" s="9" t="str">
        <f t="array" ref="F690">IFERROR(INDEX(Data!C:C, MATCH($E690, Data!$B:$B, 0)), "")</f>
        <v/>
      </c>
      <c r="G690" s="9" t="str">
        <f t="array" ref="G690">IFERROR(INDEX(Data!D:D, MATCH($E690, Data!$B:$B, 0)), "")</f>
        <v/>
      </c>
      <c r="H690" s="9" t="str">
        <f t="array" ref="H690">IFERROR(INDEX(Data!E:E, MATCH($E690, Data!$B:$B, 0)), "")</f>
        <v/>
      </c>
      <c r="I690" s="9" t="str">
        <f t="shared" si="1"/>
        <v/>
      </c>
      <c r="J690" s="9" t="str">
        <f t="shared" si="2"/>
        <v>#REF!</v>
      </c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12">
        <v>689.0</v>
      </c>
      <c r="B691" s="13"/>
      <c r="C691" s="9" t="str">
        <f t="array" ref="C691">IFERROR(INDEX(Data!F:F, MATCH($E691, Data!$B:$B, 0)), "")</f>
        <v/>
      </c>
      <c r="D691" s="9" t="str">
        <f t="array" ref="D691">IFERROR(INDEX(Data!A:A, MATCH($E691, Data!$B:$B, 0)), "")</f>
        <v/>
      </c>
      <c r="E691" s="9" t="str">
        <f>LARGE(Data!$B$2:$B1000,A691 )</f>
        <v>#NUM!</v>
      </c>
      <c r="F691" s="9" t="str">
        <f t="array" ref="F691">IFERROR(INDEX(Data!C:C, MATCH($E691, Data!$B:$B, 0)), "")</f>
        <v/>
      </c>
      <c r="G691" s="9" t="str">
        <f t="array" ref="G691">IFERROR(INDEX(Data!D:D, MATCH($E691, Data!$B:$B, 0)), "")</f>
        <v/>
      </c>
      <c r="H691" s="9" t="str">
        <f t="array" ref="H691">IFERROR(INDEX(Data!E:E, MATCH($E691, Data!$B:$B, 0)), "")</f>
        <v/>
      </c>
      <c r="I691" s="9" t="str">
        <f t="shared" si="1"/>
        <v/>
      </c>
      <c r="J691" s="9" t="str">
        <f t="shared" si="2"/>
        <v>#REF!</v>
      </c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12">
        <v>690.0</v>
      </c>
      <c r="B692" s="13"/>
      <c r="C692" s="9" t="str">
        <f t="array" ref="C692">IFERROR(INDEX(Data!F:F, MATCH($E692, Data!$B:$B, 0)), "")</f>
        <v/>
      </c>
      <c r="D692" s="9" t="str">
        <f t="array" ref="D692">IFERROR(INDEX(Data!A:A, MATCH($E692, Data!$B:$B, 0)), "")</f>
        <v/>
      </c>
      <c r="E692" s="9" t="str">
        <f>LARGE(Data!$B$2:$B1000,A692 )</f>
        <v>#NUM!</v>
      </c>
      <c r="F692" s="9" t="str">
        <f t="array" ref="F692">IFERROR(INDEX(Data!C:C, MATCH($E692, Data!$B:$B, 0)), "")</f>
        <v/>
      </c>
      <c r="G692" s="9" t="str">
        <f t="array" ref="G692">IFERROR(INDEX(Data!D:D, MATCH($E692, Data!$B:$B, 0)), "")</f>
        <v/>
      </c>
      <c r="H692" s="9" t="str">
        <f t="array" ref="H692">IFERROR(INDEX(Data!E:E, MATCH($E692, Data!$B:$B, 0)), "")</f>
        <v/>
      </c>
      <c r="I692" s="9" t="str">
        <f t="shared" si="1"/>
        <v/>
      </c>
      <c r="J692" s="9" t="str">
        <f t="shared" si="2"/>
        <v>#REF!</v>
      </c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12">
        <v>691.0</v>
      </c>
      <c r="B693" s="13"/>
      <c r="C693" s="9" t="str">
        <f t="array" ref="C693">IFERROR(INDEX(Data!F:F, MATCH($E693, Data!$B:$B, 0)), "")</f>
        <v/>
      </c>
      <c r="D693" s="9" t="str">
        <f t="array" ref="D693">IFERROR(INDEX(Data!A:A, MATCH($E693, Data!$B:$B, 0)), "")</f>
        <v/>
      </c>
      <c r="E693" s="9" t="str">
        <f>LARGE(Data!$B$2:$B1000,A693 )</f>
        <v>#NUM!</v>
      </c>
      <c r="F693" s="9" t="str">
        <f t="array" ref="F693">IFERROR(INDEX(Data!C:C, MATCH($E693, Data!$B:$B, 0)), "")</f>
        <v/>
      </c>
      <c r="G693" s="9" t="str">
        <f t="array" ref="G693">IFERROR(INDEX(Data!D:D, MATCH($E693, Data!$B:$B, 0)), "")</f>
        <v/>
      </c>
      <c r="H693" s="9" t="str">
        <f t="array" ref="H693">IFERROR(INDEX(Data!E:E, MATCH($E693, Data!$B:$B, 0)), "")</f>
        <v/>
      </c>
      <c r="I693" s="9" t="str">
        <f t="shared" si="1"/>
        <v/>
      </c>
      <c r="J693" s="9" t="str">
        <f t="shared" si="2"/>
        <v>#REF!</v>
      </c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12">
        <v>692.0</v>
      </c>
      <c r="B694" s="13"/>
      <c r="C694" s="9" t="str">
        <f t="array" ref="C694">IFERROR(INDEX(Data!F:F, MATCH($E694, Data!$B:$B, 0)), "")</f>
        <v/>
      </c>
      <c r="D694" s="9" t="str">
        <f t="array" ref="D694">IFERROR(INDEX(Data!A:A, MATCH($E694, Data!$B:$B, 0)), "")</f>
        <v/>
      </c>
      <c r="E694" s="9" t="str">
        <f>LARGE(Data!$B$2:$B1000,A694 )</f>
        <v>#NUM!</v>
      </c>
      <c r="F694" s="9" t="str">
        <f t="array" ref="F694">IFERROR(INDEX(Data!C:C, MATCH($E694, Data!$B:$B, 0)), "")</f>
        <v/>
      </c>
      <c r="G694" s="9" t="str">
        <f t="array" ref="G694">IFERROR(INDEX(Data!D:D, MATCH($E694, Data!$B:$B, 0)), "")</f>
        <v/>
      </c>
      <c r="H694" s="9" t="str">
        <f t="array" ref="H694">IFERROR(INDEX(Data!E:E, MATCH($E694, Data!$B:$B, 0)), "")</f>
        <v/>
      </c>
      <c r="I694" s="9" t="str">
        <f t="shared" si="1"/>
        <v/>
      </c>
      <c r="J694" s="9" t="str">
        <f t="shared" si="2"/>
        <v>#REF!</v>
      </c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12">
        <v>693.0</v>
      </c>
      <c r="B695" s="13"/>
      <c r="C695" s="9" t="str">
        <f t="array" ref="C695">IFERROR(INDEX(Data!F:F, MATCH($E695, Data!$B:$B, 0)), "")</f>
        <v/>
      </c>
      <c r="D695" s="9" t="str">
        <f t="array" ref="D695">IFERROR(INDEX(Data!A:A, MATCH($E695, Data!$B:$B, 0)), "")</f>
        <v/>
      </c>
      <c r="E695" s="9" t="str">
        <f>LARGE(Data!$B$2:$B1000,A695 )</f>
        <v>#NUM!</v>
      </c>
      <c r="F695" s="9" t="str">
        <f t="array" ref="F695">IFERROR(INDEX(Data!C:C, MATCH($E695, Data!$B:$B, 0)), "")</f>
        <v/>
      </c>
      <c r="G695" s="9" t="str">
        <f t="array" ref="G695">IFERROR(INDEX(Data!D:D, MATCH($E695, Data!$B:$B, 0)), "")</f>
        <v/>
      </c>
      <c r="H695" s="9" t="str">
        <f t="array" ref="H695">IFERROR(INDEX(Data!E:E, MATCH($E695, Data!$B:$B, 0)), "")</f>
        <v/>
      </c>
      <c r="I695" s="9" t="str">
        <f t="shared" si="1"/>
        <v/>
      </c>
      <c r="J695" s="9" t="str">
        <f t="shared" si="2"/>
        <v>#REF!</v>
      </c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12">
        <v>694.0</v>
      </c>
      <c r="B696" s="13"/>
      <c r="C696" s="9" t="str">
        <f t="array" ref="C696">IFERROR(INDEX(Data!F:F, MATCH($E696, Data!$B:$B, 0)), "")</f>
        <v/>
      </c>
      <c r="D696" s="9" t="str">
        <f t="array" ref="D696">IFERROR(INDEX(Data!A:A, MATCH($E696, Data!$B:$B, 0)), "")</f>
        <v/>
      </c>
      <c r="E696" s="9" t="str">
        <f>LARGE(Data!$B$2:$B1000,A696 )</f>
        <v>#NUM!</v>
      </c>
      <c r="F696" s="9" t="str">
        <f t="array" ref="F696">IFERROR(INDEX(Data!C:C, MATCH($E696, Data!$B:$B, 0)), "")</f>
        <v/>
      </c>
      <c r="G696" s="9" t="str">
        <f t="array" ref="G696">IFERROR(INDEX(Data!D:D, MATCH($E696, Data!$B:$B, 0)), "")</f>
        <v/>
      </c>
      <c r="H696" s="9" t="str">
        <f t="array" ref="H696">IFERROR(INDEX(Data!E:E, MATCH($E696, Data!$B:$B, 0)), "")</f>
        <v/>
      </c>
      <c r="I696" s="9" t="str">
        <f t="shared" si="1"/>
        <v/>
      </c>
      <c r="J696" s="9" t="str">
        <f t="shared" si="2"/>
        <v>#REF!</v>
      </c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12">
        <v>695.0</v>
      </c>
      <c r="B697" s="13"/>
      <c r="C697" s="9" t="str">
        <f t="array" ref="C697">IFERROR(INDEX(Data!F:F, MATCH($E697, Data!$B:$B, 0)), "")</f>
        <v/>
      </c>
      <c r="D697" s="9" t="str">
        <f t="array" ref="D697">IFERROR(INDEX(Data!A:A, MATCH($E697, Data!$B:$B, 0)), "")</f>
        <v/>
      </c>
      <c r="E697" s="9" t="str">
        <f>LARGE(Data!$B$2:$B1000,A697 )</f>
        <v>#NUM!</v>
      </c>
      <c r="F697" s="9" t="str">
        <f t="array" ref="F697">IFERROR(INDEX(Data!C:C, MATCH($E697, Data!$B:$B, 0)), "")</f>
        <v/>
      </c>
      <c r="G697" s="9" t="str">
        <f t="array" ref="G697">IFERROR(INDEX(Data!D:D, MATCH($E697, Data!$B:$B, 0)), "")</f>
        <v/>
      </c>
      <c r="H697" s="9" t="str">
        <f t="array" ref="H697">IFERROR(INDEX(Data!E:E, MATCH($E697, Data!$B:$B, 0)), "")</f>
        <v/>
      </c>
      <c r="I697" s="9" t="str">
        <f t="shared" si="1"/>
        <v/>
      </c>
      <c r="J697" s="9" t="str">
        <f t="shared" si="2"/>
        <v>#REF!</v>
      </c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12">
        <v>696.0</v>
      </c>
      <c r="B698" s="13"/>
      <c r="C698" s="9" t="str">
        <f t="array" ref="C698">IFERROR(INDEX(Data!F:F, MATCH($E698, Data!$B:$B, 0)), "")</f>
        <v/>
      </c>
      <c r="D698" s="9" t="str">
        <f t="array" ref="D698">IFERROR(INDEX(Data!A:A, MATCH($E698, Data!$B:$B, 0)), "")</f>
        <v/>
      </c>
      <c r="E698" s="9" t="str">
        <f>LARGE(Data!$B$2:$B1000,A698 )</f>
        <v>#NUM!</v>
      </c>
      <c r="F698" s="9" t="str">
        <f t="array" ref="F698">IFERROR(INDEX(Data!C:C, MATCH($E698, Data!$B:$B, 0)), "")</f>
        <v/>
      </c>
      <c r="G698" s="9" t="str">
        <f t="array" ref="G698">IFERROR(INDEX(Data!D:D, MATCH($E698, Data!$B:$B, 0)), "")</f>
        <v/>
      </c>
      <c r="H698" s="9" t="str">
        <f t="array" ref="H698">IFERROR(INDEX(Data!E:E, MATCH($E698, Data!$B:$B, 0)), "")</f>
        <v/>
      </c>
      <c r="I698" s="9" t="str">
        <f t="shared" si="1"/>
        <v/>
      </c>
      <c r="J698" s="9" t="str">
        <f t="shared" si="2"/>
        <v>#REF!</v>
      </c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12">
        <v>697.0</v>
      </c>
      <c r="B699" s="13"/>
      <c r="C699" s="9" t="str">
        <f t="array" ref="C699">IFERROR(INDEX(Data!F:F, MATCH($E699, Data!$B:$B, 0)), "")</f>
        <v/>
      </c>
      <c r="D699" s="9" t="str">
        <f t="array" ref="D699">IFERROR(INDEX(Data!A:A, MATCH($E699, Data!$B:$B, 0)), "")</f>
        <v/>
      </c>
      <c r="E699" s="9" t="str">
        <f>LARGE(Data!$B$2:$B1000,A699 )</f>
        <v>#NUM!</v>
      </c>
      <c r="F699" s="9" t="str">
        <f t="array" ref="F699">IFERROR(INDEX(Data!C:C, MATCH($E699, Data!$B:$B, 0)), "")</f>
        <v/>
      </c>
      <c r="G699" s="9" t="str">
        <f t="array" ref="G699">IFERROR(INDEX(Data!D:D, MATCH($E699, Data!$B:$B, 0)), "")</f>
        <v/>
      </c>
      <c r="H699" s="9" t="str">
        <f t="array" ref="H699">IFERROR(INDEX(Data!E:E, MATCH($E699, Data!$B:$B, 0)), "")</f>
        <v/>
      </c>
      <c r="I699" s="9" t="str">
        <f t="shared" si="1"/>
        <v/>
      </c>
      <c r="J699" s="9" t="str">
        <f t="shared" si="2"/>
        <v>#REF!</v>
      </c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12">
        <v>698.0</v>
      </c>
      <c r="B700" s="13"/>
      <c r="C700" s="9" t="str">
        <f t="array" ref="C700">IFERROR(INDEX(Data!F:F, MATCH($E700, Data!$B:$B, 0)), "")</f>
        <v/>
      </c>
      <c r="D700" s="9" t="str">
        <f t="array" ref="D700">IFERROR(INDEX(Data!A:A, MATCH($E700, Data!$B:$B, 0)), "")</f>
        <v/>
      </c>
      <c r="E700" s="9" t="str">
        <f>LARGE(Data!$B$2:$B1000,A700 )</f>
        <v>#NUM!</v>
      </c>
      <c r="F700" s="9" t="str">
        <f t="array" ref="F700">IFERROR(INDEX(Data!C:C, MATCH($E700, Data!$B:$B, 0)), "")</f>
        <v/>
      </c>
      <c r="G700" s="9" t="str">
        <f t="array" ref="G700">IFERROR(INDEX(Data!D:D, MATCH($E700, Data!$B:$B, 0)), "")</f>
        <v/>
      </c>
      <c r="H700" s="9" t="str">
        <f t="array" ref="H700">IFERROR(INDEX(Data!E:E, MATCH($E700, Data!$B:$B, 0)), "")</f>
        <v/>
      </c>
      <c r="I700" s="9" t="str">
        <f t="shared" si="1"/>
        <v/>
      </c>
      <c r="J700" s="9" t="str">
        <f t="shared" si="2"/>
        <v>#REF!</v>
      </c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12">
        <v>699.0</v>
      </c>
      <c r="B701" s="13"/>
      <c r="C701" s="9" t="str">
        <f t="array" ref="C701">IFERROR(INDEX(Data!F:F, MATCH($E701, Data!$B:$B, 0)), "")</f>
        <v/>
      </c>
      <c r="D701" s="9" t="str">
        <f t="array" ref="D701">IFERROR(INDEX(Data!A:A, MATCH($E701, Data!$B:$B, 0)), "")</f>
        <v/>
      </c>
      <c r="E701" s="9" t="str">
        <f>LARGE(Data!$B$2:$B1000,A701 )</f>
        <v>#NUM!</v>
      </c>
      <c r="F701" s="9" t="str">
        <f t="array" ref="F701">IFERROR(INDEX(Data!C:C, MATCH($E701, Data!$B:$B, 0)), "")</f>
        <v/>
      </c>
      <c r="G701" s="9" t="str">
        <f t="array" ref="G701">IFERROR(INDEX(Data!D:D, MATCH($E701, Data!$B:$B, 0)), "")</f>
        <v/>
      </c>
      <c r="H701" s="9" t="str">
        <f t="array" ref="H701">IFERROR(INDEX(Data!E:E, MATCH($E701, Data!$B:$B, 0)), "")</f>
        <v/>
      </c>
      <c r="I701" s="9" t="str">
        <f t="shared" si="1"/>
        <v/>
      </c>
      <c r="J701" s="9" t="str">
        <f t="shared" si="2"/>
        <v>#REF!</v>
      </c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12">
        <v>700.0</v>
      </c>
      <c r="B702" s="13"/>
      <c r="C702" s="9" t="str">
        <f t="array" ref="C702">IFERROR(INDEX(Data!F:F, MATCH($E702, Data!$B:$B, 0)), "")</f>
        <v/>
      </c>
      <c r="D702" s="9" t="str">
        <f t="array" ref="D702">IFERROR(INDEX(Data!A:A, MATCH($E702, Data!$B:$B, 0)), "")</f>
        <v/>
      </c>
      <c r="E702" s="9" t="str">
        <f>LARGE(Data!$B$2:$B1000,A702 )</f>
        <v>#NUM!</v>
      </c>
      <c r="F702" s="9" t="str">
        <f t="array" ref="F702">IFERROR(INDEX(Data!C:C, MATCH($E702, Data!$B:$B, 0)), "")</f>
        <v/>
      </c>
      <c r="G702" s="9" t="str">
        <f t="array" ref="G702">IFERROR(INDEX(Data!D:D, MATCH($E702, Data!$B:$B, 0)), "")</f>
        <v/>
      </c>
      <c r="H702" s="9" t="str">
        <f t="array" ref="H702">IFERROR(INDEX(Data!E:E, MATCH($E702, Data!$B:$B, 0)), "")</f>
        <v/>
      </c>
      <c r="I702" s="9" t="str">
        <f t="shared" si="1"/>
        <v/>
      </c>
      <c r="J702" s="9" t="str">
        <f t="shared" si="2"/>
        <v>#REF!</v>
      </c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12">
        <v>701.0</v>
      </c>
      <c r="B703" s="13"/>
      <c r="C703" s="9" t="str">
        <f t="array" ref="C703">IFERROR(INDEX(Data!F:F, MATCH($E703, Data!$B:$B, 0)), "")</f>
        <v/>
      </c>
      <c r="D703" s="9" t="str">
        <f t="array" ref="D703">IFERROR(INDEX(Data!A:A, MATCH($E703, Data!$B:$B, 0)), "")</f>
        <v/>
      </c>
      <c r="E703" s="9" t="str">
        <f>LARGE(Data!$B$2:$B1000,A703 )</f>
        <v>#NUM!</v>
      </c>
      <c r="F703" s="9" t="str">
        <f t="array" ref="F703">IFERROR(INDEX(Data!C:C, MATCH($E703, Data!$B:$B, 0)), "")</f>
        <v/>
      </c>
      <c r="G703" s="9" t="str">
        <f t="array" ref="G703">IFERROR(INDEX(Data!D:D, MATCH($E703, Data!$B:$B, 0)), "")</f>
        <v/>
      </c>
      <c r="H703" s="9" t="str">
        <f t="array" ref="H703">IFERROR(INDEX(Data!E:E, MATCH($E703, Data!$B:$B, 0)), "")</f>
        <v/>
      </c>
      <c r="I703" s="9" t="str">
        <f t="shared" si="1"/>
        <v/>
      </c>
      <c r="J703" s="9" t="str">
        <f t="shared" si="2"/>
        <v>#REF!</v>
      </c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12">
        <v>702.0</v>
      </c>
      <c r="B704" s="13"/>
      <c r="C704" s="9" t="str">
        <f t="array" ref="C704">IFERROR(INDEX(Data!F:F, MATCH($E704, Data!$B:$B, 0)), "")</f>
        <v/>
      </c>
      <c r="D704" s="9" t="str">
        <f t="array" ref="D704">IFERROR(INDEX(Data!A:A, MATCH($E704, Data!$B:$B, 0)), "")</f>
        <v/>
      </c>
      <c r="E704" s="9" t="str">
        <f>LARGE(Data!$B$2:$B1000,A704 )</f>
        <v>#NUM!</v>
      </c>
      <c r="F704" s="9" t="str">
        <f t="array" ref="F704">IFERROR(INDEX(Data!C:C, MATCH($E704, Data!$B:$B, 0)), "")</f>
        <v/>
      </c>
      <c r="G704" s="9" t="str">
        <f t="array" ref="G704">IFERROR(INDEX(Data!D:D, MATCH($E704, Data!$B:$B, 0)), "")</f>
        <v/>
      </c>
      <c r="H704" s="9" t="str">
        <f t="array" ref="H704">IFERROR(INDEX(Data!E:E, MATCH($E704, Data!$B:$B, 0)), "")</f>
        <v/>
      </c>
      <c r="I704" s="9" t="str">
        <f t="shared" si="1"/>
        <v/>
      </c>
      <c r="J704" s="9" t="str">
        <f t="shared" si="2"/>
        <v>#REF!</v>
      </c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12">
        <v>703.0</v>
      </c>
      <c r="B705" s="13"/>
      <c r="C705" s="9" t="str">
        <f t="array" ref="C705">IFERROR(INDEX(Data!F:F, MATCH($E705, Data!$B:$B, 0)), "")</f>
        <v/>
      </c>
      <c r="D705" s="9" t="str">
        <f t="array" ref="D705">IFERROR(INDEX(Data!A:A, MATCH($E705, Data!$B:$B, 0)), "")</f>
        <v/>
      </c>
      <c r="E705" s="9" t="str">
        <f>LARGE(Data!$B$2:$B1000,A705 )</f>
        <v>#NUM!</v>
      </c>
      <c r="F705" s="9" t="str">
        <f t="array" ref="F705">IFERROR(INDEX(Data!C:C, MATCH($E705, Data!$B:$B, 0)), "")</f>
        <v/>
      </c>
      <c r="G705" s="9" t="str">
        <f t="array" ref="G705">IFERROR(INDEX(Data!D:D, MATCH($E705, Data!$B:$B, 0)), "")</f>
        <v/>
      </c>
      <c r="H705" s="9" t="str">
        <f t="array" ref="H705">IFERROR(INDEX(Data!E:E, MATCH($E705, Data!$B:$B, 0)), "")</f>
        <v/>
      </c>
      <c r="I705" s="9" t="str">
        <f t="shared" si="1"/>
        <v/>
      </c>
      <c r="J705" s="9" t="str">
        <f t="shared" si="2"/>
        <v>#REF!</v>
      </c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12">
        <v>704.0</v>
      </c>
      <c r="B706" s="13"/>
      <c r="C706" s="9" t="str">
        <f t="array" ref="C706">IFERROR(INDEX(Data!F:F, MATCH($E706, Data!$B:$B, 0)), "")</f>
        <v/>
      </c>
      <c r="D706" s="9" t="str">
        <f t="array" ref="D706">IFERROR(INDEX(Data!A:A, MATCH($E706, Data!$B:$B, 0)), "")</f>
        <v/>
      </c>
      <c r="E706" s="9" t="str">
        <f>LARGE(Data!$B$2:$B1000,A706 )</f>
        <v>#NUM!</v>
      </c>
      <c r="F706" s="9" t="str">
        <f t="array" ref="F706">IFERROR(INDEX(Data!C:C, MATCH($E706, Data!$B:$B, 0)), "")</f>
        <v/>
      </c>
      <c r="G706" s="9" t="str">
        <f t="array" ref="G706">IFERROR(INDEX(Data!D:D, MATCH($E706, Data!$B:$B, 0)), "")</f>
        <v/>
      </c>
      <c r="H706" s="9" t="str">
        <f t="array" ref="H706">IFERROR(INDEX(Data!E:E, MATCH($E706, Data!$B:$B, 0)), "")</f>
        <v/>
      </c>
      <c r="I706" s="9" t="str">
        <f t="shared" si="1"/>
        <v/>
      </c>
      <c r="J706" s="9" t="str">
        <f t="shared" si="2"/>
        <v>#REF!</v>
      </c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12">
        <v>705.0</v>
      </c>
      <c r="B707" s="13"/>
      <c r="C707" s="9" t="str">
        <f t="array" ref="C707">IFERROR(INDEX(Data!F:F, MATCH($E707, Data!$B:$B, 0)), "")</f>
        <v/>
      </c>
      <c r="D707" s="9" t="str">
        <f t="array" ref="D707">IFERROR(INDEX(Data!A:A, MATCH($E707, Data!$B:$B, 0)), "")</f>
        <v/>
      </c>
      <c r="E707" s="9" t="str">
        <f>LARGE(Data!$B$2:$B1000,A707 )</f>
        <v>#NUM!</v>
      </c>
      <c r="F707" s="9" t="str">
        <f t="array" ref="F707">IFERROR(INDEX(Data!C:C, MATCH($E707, Data!$B:$B, 0)), "")</f>
        <v/>
      </c>
      <c r="G707" s="9" t="str">
        <f t="array" ref="G707">IFERROR(INDEX(Data!D:D, MATCH($E707, Data!$B:$B, 0)), "")</f>
        <v/>
      </c>
      <c r="H707" s="9" t="str">
        <f t="array" ref="H707">IFERROR(INDEX(Data!E:E, MATCH($E707, Data!$B:$B, 0)), "")</f>
        <v/>
      </c>
      <c r="I707" s="9" t="str">
        <f t="shared" si="1"/>
        <v/>
      </c>
      <c r="J707" s="9" t="str">
        <f t="shared" si="2"/>
        <v>#REF!</v>
      </c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12">
        <v>706.0</v>
      </c>
      <c r="B708" s="13"/>
      <c r="C708" s="9" t="str">
        <f t="array" ref="C708">IFERROR(INDEX(Data!F:F, MATCH($E708, Data!$B:$B, 0)), "")</f>
        <v/>
      </c>
      <c r="D708" s="9" t="str">
        <f t="array" ref="D708">IFERROR(INDEX(Data!A:A, MATCH($E708, Data!$B:$B, 0)), "")</f>
        <v/>
      </c>
      <c r="E708" s="9" t="str">
        <f>LARGE(Data!$B$2:$B1000,A708 )</f>
        <v>#NUM!</v>
      </c>
      <c r="F708" s="9" t="str">
        <f t="array" ref="F708">IFERROR(INDEX(Data!C:C, MATCH($E708, Data!$B:$B, 0)), "")</f>
        <v/>
      </c>
      <c r="G708" s="9" t="str">
        <f t="array" ref="G708">IFERROR(INDEX(Data!D:D, MATCH($E708, Data!$B:$B, 0)), "")</f>
        <v/>
      </c>
      <c r="H708" s="9" t="str">
        <f t="array" ref="H708">IFERROR(INDEX(Data!E:E, MATCH($E708, Data!$B:$B, 0)), "")</f>
        <v/>
      </c>
      <c r="I708" s="9" t="str">
        <f t="shared" si="1"/>
        <v/>
      </c>
      <c r="J708" s="9" t="str">
        <f t="shared" si="2"/>
        <v>#REF!</v>
      </c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12">
        <v>707.0</v>
      </c>
      <c r="B709" s="13"/>
      <c r="C709" s="9" t="str">
        <f t="array" ref="C709">IFERROR(INDEX(Data!F:F, MATCH($E709, Data!$B:$B, 0)), "")</f>
        <v/>
      </c>
      <c r="D709" s="9" t="str">
        <f t="array" ref="D709">IFERROR(INDEX(Data!A:A, MATCH($E709, Data!$B:$B, 0)), "")</f>
        <v/>
      </c>
      <c r="E709" s="9" t="str">
        <f>LARGE(Data!$B$2:$B1000,A709 )</f>
        <v>#NUM!</v>
      </c>
      <c r="F709" s="9" t="str">
        <f t="array" ref="F709">IFERROR(INDEX(Data!C:C, MATCH($E709, Data!$B:$B, 0)), "")</f>
        <v/>
      </c>
      <c r="G709" s="9" t="str">
        <f t="array" ref="G709">IFERROR(INDEX(Data!D:D, MATCH($E709, Data!$B:$B, 0)), "")</f>
        <v/>
      </c>
      <c r="H709" s="9" t="str">
        <f t="array" ref="H709">IFERROR(INDEX(Data!E:E, MATCH($E709, Data!$B:$B, 0)), "")</f>
        <v/>
      </c>
      <c r="I709" s="9" t="str">
        <f t="shared" si="1"/>
        <v/>
      </c>
      <c r="J709" s="9" t="str">
        <f t="shared" si="2"/>
        <v>#REF!</v>
      </c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12">
        <v>708.0</v>
      </c>
      <c r="B710" s="13"/>
      <c r="C710" s="9" t="str">
        <f t="array" ref="C710">IFERROR(INDEX(Data!F:F, MATCH($E710, Data!$B:$B, 0)), "")</f>
        <v/>
      </c>
      <c r="D710" s="9" t="str">
        <f t="array" ref="D710">IFERROR(INDEX(Data!A:A, MATCH($E710, Data!$B:$B, 0)), "")</f>
        <v/>
      </c>
      <c r="E710" s="9" t="str">
        <f>LARGE(Data!$B$2:$B1000,A710 )</f>
        <v>#NUM!</v>
      </c>
      <c r="F710" s="9" t="str">
        <f t="array" ref="F710">IFERROR(INDEX(Data!C:C, MATCH($E710, Data!$B:$B, 0)), "")</f>
        <v/>
      </c>
      <c r="G710" s="9" t="str">
        <f t="array" ref="G710">IFERROR(INDEX(Data!D:D, MATCH($E710, Data!$B:$B, 0)), "")</f>
        <v/>
      </c>
      <c r="H710" s="9" t="str">
        <f t="array" ref="H710">IFERROR(INDEX(Data!E:E, MATCH($E710, Data!$B:$B, 0)), "")</f>
        <v/>
      </c>
      <c r="I710" s="9" t="str">
        <f t="shared" si="1"/>
        <v/>
      </c>
      <c r="J710" s="9" t="str">
        <f t="shared" si="2"/>
        <v>#REF!</v>
      </c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12">
        <v>709.0</v>
      </c>
      <c r="B711" s="13"/>
      <c r="C711" s="9" t="str">
        <f t="array" ref="C711">IFERROR(INDEX(Data!F:F, MATCH($E711, Data!$B:$B, 0)), "")</f>
        <v/>
      </c>
      <c r="D711" s="9" t="str">
        <f t="array" ref="D711">IFERROR(INDEX(Data!A:A, MATCH($E711, Data!$B:$B, 0)), "")</f>
        <v/>
      </c>
      <c r="E711" s="9" t="str">
        <f>LARGE(Data!$B$2:$B1000,A711 )</f>
        <v>#NUM!</v>
      </c>
      <c r="F711" s="9" t="str">
        <f t="array" ref="F711">IFERROR(INDEX(Data!C:C, MATCH($E711, Data!$B:$B, 0)), "")</f>
        <v/>
      </c>
      <c r="G711" s="9" t="str">
        <f t="array" ref="G711">IFERROR(INDEX(Data!D:D, MATCH($E711, Data!$B:$B, 0)), "")</f>
        <v/>
      </c>
      <c r="H711" s="9" t="str">
        <f t="array" ref="H711">IFERROR(INDEX(Data!E:E, MATCH($E711, Data!$B:$B, 0)), "")</f>
        <v/>
      </c>
      <c r="I711" s="9" t="str">
        <f t="shared" si="1"/>
        <v/>
      </c>
      <c r="J711" s="9" t="str">
        <f t="shared" si="2"/>
        <v>#REF!</v>
      </c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12">
        <v>710.0</v>
      </c>
      <c r="B712" s="13"/>
      <c r="C712" s="9" t="str">
        <f t="array" ref="C712">IFERROR(INDEX(Data!F:F, MATCH($E712, Data!$B:$B, 0)), "")</f>
        <v/>
      </c>
      <c r="D712" s="9" t="str">
        <f t="array" ref="D712">IFERROR(INDEX(Data!A:A, MATCH($E712, Data!$B:$B, 0)), "")</f>
        <v/>
      </c>
      <c r="E712" s="9" t="str">
        <f>LARGE(Data!$B$2:$B1000,A712 )</f>
        <v>#NUM!</v>
      </c>
      <c r="F712" s="9" t="str">
        <f t="array" ref="F712">IFERROR(INDEX(Data!C:C, MATCH($E712, Data!$B:$B, 0)), "")</f>
        <v/>
      </c>
      <c r="G712" s="9" t="str">
        <f t="array" ref="G712">IFERROR(INDEX(Data!D:D, MATCH($E712, Data!$B:$B, 0)), "")</f>
        <v/>
      </c>
      <c r="H712" s="9" t="str">
        <f t="array" ref="H712">IFERROR(INDEX(Data!E:E, MATCH($E712, Data!$B:$B, 0)), "")</f>
        <v/>
      </c>
      <c r="I712" s="9" t="str">
        <f t="shared" si="1"/>
        <v/>
      </c>
      <c r="J712" s="9" t="str">
        <f t="shared" si="2"/>
        <v>#REF!</v>
      </c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12">
        <v>711.0</v>
      </c>
      <c r="B713" s="13"/>
      <c r="C713" s="9" t="str">
        <f t="array" ref="C713">IFERROR(INDEX(Data!F:F, MATCH($E713, Data!$B:$B, 0)), "")</f>
        <v/>
      </c>
      <c r="D713" s="9" t="str">
        <f t="array" ref="D713">IFERROR(INDEX(Data!A:A, MATCH($E713, Data!$B:$B, 0)), "")</f>
        <v/>
      </c>
      <c r="E713" s="9" t="str">
        <f>LARGE(Data!$B$2:$B1000,A713 )</f>
        <v>#NUM!</v>
      </c>
      <c r="F713" s="9" t="str">
        <f t="array" ref="F713">IFERROR(INDEX(Data!C:C, MATCH($E713, Data!$B:$B, 0)), "")</f>
        <v/>
      </c>
      <c r="G713" s="9" t="str">
        <f t="array" ref="G713">IFERROR(INDEX(Data!D:D, MATCH($E713, Data!$B:$B, 0)), "")</f>
        <v/>
      </c>
      <c r="H713" s="9" t="str">
        <f t="array" ref="H713">IFERROR(INDEX(Data!E:E, MATCH($E713, Data!$B:$B, 0)), "")</f>
        <v/>
      </c>
      <c r="I713" s="9" t="str">
        <f t="shared" si="1"/>
        <v/>
      </c>
      <c r="J713" s="9" t="str">
        <f t="shared" si="2"/>
        <v>#REF!</v>
      </c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12">
        <v>712.0</v>
      </c>
      <c r="B714" s="13"/>
      <c r="C714" s="9" t="str">
        <f t="array" ref="C714">IFERROR(INDEX(Data!F:F, MATCH($E714, Data!$B:$B, 0)), "")</f>
        <v/>
      </c>
      <c r="D714" s="9" t="str">
        <f t="array" ref="D714">IFERROR(INDEX(Data!A:A, MATCH($E714, Data!$B:$B, 0)), "")</f>
        <v/>
      </c>
      <c r="E714" s="9" t="str">
        <f>LARGE(Data!$B$2:$B1000,A714 )</f>
        <v>#NUM!</v>
      </c>
      <c r="F714" s="9" t="str">
        <f t="array" ref="F714">IFERROR(INDEX(Data!C:C, MATCH($E714, Data!$B:$B, 0)), "")</f>
        <v/>
      </c>
      <c r="G714" s="9" t="str">
        <f t="array" ref="G714">IFERROR(INDEX(Data!D:D, MATCH($E714, Data!$B:$B, 0)), "")</f>
        <v/>
      </c>
      <c r="H714" s="9" t="str">
        <f t="array" ref="H714">IFERROR(INDEX(Data!E:E, MATCH($E714, Data!$B:$B, 0)), "")</f>
        <v/>
      </c>
      <c r="I714" s="9" t="str">
        <f t="shared" si="1"/>
        <v/>
      </c>
      <c r="J714" s="9" t="str">
        <f t="shared" si="2"/>
        <v>#REF!</v>
      </c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12">
        <v>713.0</v>
      </c>
      <c r="B715" s="13"/>
      <c r="C715" s="9" t="str">
        <f t="array" ref="C715">IFERROR(INDEX(Data!F:F, MATCH($E715, Data!$B:$B, 0)), "")</f>
        <v/>
      </c>
      <c r="D715" s="9" t="str">
        <f t="array" ref="D715">IFERROR(INDEX(Data!A:A, MATCH($E715, Data!$B:$B, 0)), "")</f>
        <v/>
      </c>
      <c r="E715" s="9" t="str">
        <f>LARGE(Data!$B$2:$B1000,A715 )</f>
        <v>#NUM!</v>
      </c>
      <c r="F715" s="9" t="str">
        <f t="array" ref="F715">IFERROR(INDEX(Data!C:C, MATCH($E715, Data!$B:$B, 0)), "")</f>
        <v/>
      </c>
      <c r="G715" s="9" t="str">
        <f t="array" ref="G715">IFERROR(INDEX(Data!D:D, MATCH($E715, Data!$B:$B, 0)), "")</f>
        <v/>
      </c>
      <c r="H715" s="9" t="str">
        <f t="array" ref="H715">IFERROR(INDEX(Data!E:E, MATCH($E715, Data!$B:$B, 0)), "")</f>
        <v/>
      </c>
      <c r="I715" s="9" t="str">
        <f t="shared" si="1"/>
        <v/>
      </c>
      <c r="J715" s="9" t="str">
        <f t="shared" si="2"/>
        <v>#REF!</v>
      </c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12">
        <v>714.0</v>
      </c>
      <c r="B716" s="13"/>
      <c r="C716" s="9" t="str">
        <f t="array" ref="C716">IFERROR(INDEX(Data!F:F, MATCH($E716, Data!$B:$B, 0)), "")</f>
        <v/>
      </c>
      <c r="D716" s="9" t="str">
        <f t="array" ref="D716">IFERROR(INDEX(Data!A:A, MATCH($E716, Data!$B:$B, 0)), "")</f>
        <v/>
      </c>
      <c r="E716" s="9" t="str">
        <f>LARGE(Data!$B$2:$B1000,A716 )</f>
        <v>#NUM!</v>
      </c>
      <c r="F716" s="9" t="str">
        <f t="array" ref="F716">IFERROR(INDEX(Data!C:C, MATCH($E716, Data!$B:$B, 0)), "")</f>
        <v/>
      </c>
      <c r="G716" s="9" t="str">
        <f t="array" ref="G716">IFERROR(INDEX(Data!D:D, MATCH($E716, Data!$B:$B, 0)), "")</f>
        <v/>
      </c>
      <c r="H716" s="9" t="str">
        <f t="array" ref="H716">IFERROR(INDEX(Data!E:E, MATCH($E716, Data!$B:$B, 0)), "")</f>
        <v/>
      </c>
      <c r="I716" s="9" t="str">
        <f t="shared" si="1"/>
        <v/>
      </c>
      <c r="J716" s="9" t="str">
        <f t="shared" si="2"/>
        <v>#REF!</v>
      </c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12">
        <v>715.0</v>
      </c>
      <c r="B717" s="13"/>
      <c r="C717" s="9" t="str">
        <f t="array" ref="C717">IFERROR(INDEX(Data!F:F, MATCH($E717, Data!$B:$B, 0)), "")</f>
        <v/>
      </c>
      <c r="D717" s="9" t="str">
        <f t="array" ref="D717">IFERROR(INDEX(Data!A:A, MATCH($E717, Data!$B:$B, 0)), "")</f>
        <v/>
      </c>
      <c r="E717" s="9" t="str">
        <f>LARGE(Data!$B$2:$B1000,A717 )</f>
        <v>#NUM!</v>
      </c>
      <c r="F717" s="9" t="str">
        <f t="array" ref="F717">IFERROR(INDEX(Data!C:C, MATCH($E717, Data!$B:$B, 0)), "")</f>
        <v/>
      </c>
      <c r="G717" s="9" t="str">
        <f t="array" ref="G717">IFERROR(INDEX(Data!D:D, MATCH($E717, Data!$B:$B, 0)), "")</f>
        <v/>
      </c>
      <c r="H717" s="9" t="str">
        <f t="array" ref="H717">IFERROR(INDEX(Data!E:E, MATCH($E717, Data!$B:$B, 0)), "")</f>
        <v/>
      </c>
      <c r="I717" s="9" t="str">
        <f t="shared" si="1"/>
        <v/>
      </c>
      <c r="J717" s="9" t="str">
        <f t="shared" si="2"/>
        <v>#REF!</v>
      </c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12">
        <v>716.0</v>
      </c>
      <c r="B718" s="13"/>
      <c r="C718" s="9" t="str">
        <f t="array" ref="C718">IFERROR(INDEX(Data!F:F, MATCH($E718, Data!$B:$B, 0)), "")</f>
        <v/>
      </c>
      <c r="D718" s="9" t="str">
        <f t="array" ref="D718">IFERROR(INDEX(Data!A:A, MATCH($E718, Data!$B:$B, 0)), "")</f>
        <v/>
      </c>
      <c r="E718" s="9" t="str">
        <f>LARGE(Data!$B$2:$B1000,A718 )</f>
        <v>#NUM!</v>
      </c>
      <c r="F718" s="9" t="str">
        <f t="array" ref="F718">IFERROR(INDEX(Data!C:C, MATCH($E718, Data!$B:$B, 0)), "")</f>
        <v/>
      </c>
      <c r="G718" s="9" t="str">
        <f t="array" ref="G718">IFERROR(INDEX(Data!D:D, MATCH($E718, Data!$B:$B, 0)), "")</f>
        <v/>
      </c>
      <c r="H718" s="9" t="str">
        <f t="array" ref="H718">IFERROR(INDEX(Data!E:E, MATCH($E718, Data!$B:$B, 0)), "")</f>
        <v/>
      </c>
      <c r="I718" s="9" t="str">
        <f t="shared" si="1"/>
        <v/>
      </c>
      <c r="J718" s="9" t="str">
        <f t="shared" si="2"/>
        <v>#REF!</v>
      </c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12">
        <v>717.0</v>
      </c>
      <c r="B719" s="13"/>
      <c r="C719" s="9" t="str">
        <f t="array" ref="C719">IFERROR(INDEX(Data!F:F, MATCH($E719, Data!$B:$B, 0)), "")</f>
        <v/>
      </c>
      <c r="D719" s="9" t="str">
        <f t="array" ref="D719">IFERROR(INDEX(Data!A:A, MATCH($E719, Data!$B:$B, 0)), "")</f>
        <v/>
      </c>
      <c r="E719" s="9" t="str">
        <f>LARGE(Data!$B$2:$B1000,A719 )</f>
        <v>#NUM!</v>
      </c>
      <c r="F719" s="9" t="str">
        <f t="array" ref="F719">IFERROR(INDEX(Data!C:C, MATCH($E719, Data!$B:$B, 0)), "")</f>
        <v/>
      </c>
      <c r="G719" s="9" t="str">
        <f t="array" ref="G719">IFERROR(INDEX(Data!D:D, MATCH($E719, Data!$B:$B, 0)), "")</f>
        <v/>
      </c>
      <c r="H719" s="9" t="str">
        <f t="array" ref="H719">IFERROR(INDEX(Data!E:E, MATCH($E719, Data!$B:$B, 0)), "")</f>
        <v/>
      </c>
      <c r="I719" s="9" t="str">
        <f t="shared" si="1"/>
        <v/>
      </c>
      <c r="J719" s="9" t="str">
        <f t="shared" si="2"/>
        <v>#REF!</v>
      </c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12">
        <v>718.0</v>
      </c>
      <c r="B720" s="13"/>
      <c r="C720" s="9" t="str">
        <f t="array" ref="C720">IFERROR(INDEX(Data!F:F, MATCH($E720, Data!$B:$B, 0)), "")</f>
        <v/>
      </c>
      <c r="D720" s="9" t="str">
        <f t="array" ref="D720">IFERROR(INDEX(Data!A:A, MATCH($E720, Data!$B:$B, 0)), "")</f>
        <v/>
      </c>
      <c r="E720" s="9" t="str">
        <f>LARGE(Data!$B$2:$B1000,A720 )</f>
        <v>#NUM!</v>
      </c>
      <c r="F720" s="9" t="str">
        <f t="array" ref="F720">IFERROR(INDEX(Data!C:C, MATCH($E720, Data!$B:$B, 0)), "")</f>
        <v/>
      </c>
      <c r="G720" s="9" t="str">
        <f t="array" ref="G720">IFERROR(INDEX(Data!D:D, MATCH($E720, Data!$B:$B, 0)), "")</f>
        <v/>
      </c>
      <c r="H720" s="9" t="str">
        <f t="array" ref="H720">IFERROR(INDEX(Data!E:E, MATCH($E720, Data!$B:$B, 0)), "")</f>
        <v/>
      </c>
      <c r="I720" s="9" t="str">
        <f t="shared" si="1"/>
        <v/>
      </c>
      <c r="J720" s="9" t="str">
        <f t="shared" si="2"/>
        <v>#REF!</v>
      </c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12">
        <v>719.0</v>
      </c>
      <c r="B721" s="13"/>
      <c r="C721" s="9" t="str">
        <f t="array" ref="C721">IFERROR(INDEX(Data!F:F, MATCH($E721, Data!$B:$B, 0)), "")</f>
        <v/>
      </c>
      <c r="D721" s="9" t="str">
        <f t="array" ref="D721">IFERROR(INDEX(Data!A:A, MATCH($E721, Data!$B:$B, 0)), "")</f>
        <v/>
      </c>
      <c r="E721" s="9" t="str">
        <f>LARGE(Data!$B$2:$B1000,A721 )</f>
        <v>#NUM!</v>
      </c>
      <c r="F721" s="9" t="str">
        <f t="array" ref="F721">IFERROR(INDEX(Data!C:C, MATCH($E721, Data!$B:$B, 0)), "")</f>
        <v/>
      </c>
      <c r="G721" s="9" t="str">
        <f t="array" ref="G721">IFERROR(INDEX(Data!D:D, MATCH($E721, Data!$B:$B, 0)), "")</f>
        <v/>
      </c>
      <c r="H721" s="9" t="str">
        <f t="array" ref="H721">IFERROR(INDEX(Data!E:E, MATCH($E721, Data!$B:$B, 0)), "")</f>
        <v/>
      </c>
      <c r="I721" s="9" t="str">
        <f t="shared" si="1"/>
        <v/>
      </c>
      <c r="J721" s="9" t="str">
        <f t="shared" si="2"/>
        <v>#REF!</v>
      </c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12">
        <v>720.0</v>
      </c>
      <c r="B722" s="13"/>
      <c r="C722" s="9" t="str">
        <f t="array" ref="C722">IFERROR(INDEX(Data!F:F, MATCH($E722, Data!$B:$B, 0)), "")</f>
        <v/>
      </c>
      <c r="D722" s="9" t="str">
        <f t="array" ref="D722">IFERROR(INDEX(Data!A:A, MATCH($E722, Data!$B:$B, 0)), "")</f>
        <v/>
      </c>
      <c r="E722" s="9" t="str">
        <f>LARGE(Data!$B$2:$B1000,A722 )</f>
        <v>#NUM!</v>
      </c>
      <c r="F722" s="9" t="str">
        <f t="array" ref="F722">IFERROR(INDEX(Data!C:C, MATCH($E722, Data!$B:$B, 0)), "")</f>
        <v/>
      </c>
      <c r="G722" s="9" t="str">
        <f t="array" ref="G722">IFERROR(INDEX(Data!D:D, MATCH($E722, Data!$B:$B, 0)), "")</f>
        <v/>
      </c>
      <c r="H722" s="9" t="str">
        <f t="array" ref="H722">IFERROR(INDEX(Data!E:E, MATCH($E722, Data!$B:$B, 0)), "")</f>
        <v/>
      </c>
      <c r="I722" s="9" t="str">
        <f t="shared" si="1"/>
        <v/>
      </c>
      <c r="J722" s="9" t="str">
        <f t="shared" si="2"/>
        <v>#REF!</v>
      </c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12">
        <v>721.0</v>
      </c>
      <c r="B723" s="13"/>
      <c r="C723" s="9" t="str">
        <f t="array" ref="C723">IFERROR(INDEX(Data!F:F, MATCH($E723, Data!$B:$B, 0)), "")</f>
        <v/>
      </c>
      <c r="D723" s="9" t="str">
        <f t="array" ref="D723">IFERROR(INDEX(Data!A:A, MATCH($E723, Data!$B:$B, 0)), "")</f>
        <v/>
      </c>
      <c r="E723" s="9" t="str">
        <f>LARGE(Data!$B$2:$B1000,A723 )</f>
        <v>#NUM!</v>
      </c>
      <c r="F723" s="9" t="str">
        <f t="array" ref="F723">IFERROR(INDEX(Data!C:C, MATCH($E723, Data!$B:$B, 0)), "")</f>
        <v/>
      </c>
      <c r="G723" s="9" t="str">
        <f t="array" ref="G723">IFERROR(INDEX(Data!D:D, MATCH($E723, Data!$B:$B, 0)), "")</f>
        <v/>
      </c>
      <c r="H723" s="9" t="str">
        <f t="array" ref="H723">IFERROR(INDEX(Data!E:E, MATCH($E723, Data!$B:$B, 0)), "")</f>
        <v/>
      </c>
      <c r="I723" s="9" t="str">
        <f t="shared" si="1"/>
        <v/>
      </c>
      <c r="J723" s="9" t="str">
        <f t="shared" si="2"/>
        <v>#REF!</v>
      </c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12">
        <v>722.0</v>
      </c>
      <c r="B724" s="13"/>
      <c r="C724" s="9" t="str">
        <f t="array" ref="C724">IFERROR(INDEX(Data!F:F, MATCH($E724, Data!$B:$B, 0)), "")</f>
        <v/>
      </c>
      <c r="D724" s="9" t="str">
        <f t="array" ref="D724">IFERROR(INDEX(Data!A:A, MATCH($E724, Data!$B:$B, 0)), "")</f>
        <v/>
      </c>
      <c r="E724" s="9" t="str">
        <f>LARGE(Data!$B$2:$B1000,A724 )</f>
        <v>#NUM!</v>
      </c>
      <c r="F724" s="9" t="str">
        <f t="array" ref="F724">IFERROR(INDEX(Data!C:C, MATCH($E724, Data!$B:$B, 0)), "")</f>
        <v/>
      </c>
      <c r="G724" s="9" t="str">
        <f t="array" ref="G724">IFERROR(INDEX(Data!D:D, MATCH($E724, Data!$B:$B, 0)), "")</f>
        <v/>
      </c>
      <c r="H724" s="9" t="str">
        <f t="array" ref="H724">IFERROR(INDEX(Data!E:E, MATCH($E724, Data!$B:$B, 0)), "")</f>
        <v/>
      </c>
      <c r="I724" s="9" t="str">
        <f t="shared" si="1"/>
        <v/>
      </c>
      <c r="J724" s="9" t="str">
        <f t="shared" si="2"/>
        <v>#REF!</v>
      </c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12">
        <v>723.0</v>
      </c>
      <c r="B725" s="13"/>
      <c r="C725" s="9" t="str">
        <f t="array" ref="C725">IFERROR(INDEX(Data!F:F, MATCH($E725, Data!$B:$B, 0)), "")</f>
        <v/>
      </c>
      <c r="D725" s="9" t="str">
        <f t="array" ref="D725">IFERROR(INDEX(Data!A:A, MATCH($E725, Data!$B:$B, 0)), "")</f>
        <v/>
      </c>
      <c r="E725" s="9" t="str">
        <f>LARGE(Data!$B$2:$B1000,A725 )</f>
        <v>#NUM!</v>
      </c>
      <c r="F725" s="9" t="str">
        <f t="array" ref="F725">IFERROR(INDEX(Data!C:C, MATCH($E725, Data!$B:$B, 0)), "")</f>
        <v/>
      </c>
      <c r="G725" s="9" t="str">
        <f t="array" ref="G725">IFERROR(INDEX(Data!D:D, MATCH($E725, Data!$B:$B, 0)), "")</f>
        <v/>
      </c>
      <c r="H725" s="9" t="str">
        <f t="array" ref="H725">IFERROR(INDEX(Data!E:E, MATCH($E725, Data!$B:$B, 0)), "")</f>
        <v/>
      </c>
      <c r="I725" s="9" t="str">
        <f t="shared" si="1"/>
        <v/>
      </c>
      <c r="J725" s="9" t="str">
        <f t="shared" si="2"/>
        <v>#REF!</v>
      </c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12">
        <v>724.0</v>
      </c>
      <c r="B726" s="13"/>
      <c r="C726" s="9" t="str">
        <f t="array" ref="C726">IFERROR(INDEX(Data!F:F, MATCH($E726, Data!$B:$B, 0)), "")</f>
        <v/>
      </c>
      <c r="D726" s="9" t="str">
        <f t="array" ref="D726">IFERROR(INDEX(Data!A:A, MATCH($E726, Data!$B:$B, 0)), "")</f>
        <v/>
      </c>
      <c r="E726" s="9" t="str">
        <f>LARGE(Data!$B$2:$B1000,A726 )</f>
        <v>#NUM!</v>
      </c>
      <c r="F726" s="9" t="str">
        <f t="array" ref="F726">IFERROR(INDEX(Data!C:C, MATCH($E726, Data!$B:$B, 0)), "")</f>
        <v/>
      </c>
      <c r="G726" s="9" t="str">
        <f t="array" ref="G726">IFERROR(INDEX(Data!D:D, MATCH($E726, Data!$B:$B, 0)), "")</f>
        <v/>
      </c>
      <c r="H726" s="9" t="str">
        <f t="array" ref="H726">IFERROR(INDEX(Data!E:E, MATCH($E726, Data!$B:$B, 0)), "")</f>
        <v/>
      </c>
      <c r="I726" s="9" t="str">
        <f t="shared" si="1"/>
        <v/>
      </c>
      <c r="J726" s="9" t="str">
        <f t="shared" si="2"/>
        <v>#REF!</v>
      </c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12">
        <v>725.0</v>
      </c>
      <c r="B727" s="13"/>
      <c r="C727" s="9" t="str">
        <f t="array" ref="C727">IFERROR(INDEX(Data!F:F, MATCH($E727, Data!$B:$B, 0)), "")</f>
        <v/>
      </c>
      <c r="D727" s="9" t="str">
        <f t="array" ref="D727">IFERROR(INDEX(Data!A:A, MATCH($E727, Data!$B:$B, 0)), "")</f>
        <v/>
      </c>
      <c r="E727" s="9" t="str">
        <f>LARGE(Data!$B$2:$B1000,A727 )</f>
        <v>#NUM!</v>
      </c>
      <c r="F727" s="9" t="str">
        <f t="array" ref="F727">IFERROR(INDEX(Data!C:C, MATCH($E727, Data!$B:$B, 0)), "")</f>
        <v/>
      </c>
      <c r="G727" s="9" t="str">
        <f t="array" ref="G727">IFERROR(INDEX(Data!D:D, MATCH($E727, Data!$B:$B, 0)), "")</f>
        <v/>
      </c>
      <c r="H727" s="9" t="str">
        <f t="array" ref="H727">IFERROR(INDEX(Data!E:E, MATCH($E727, Data!$B:$B, 0)), "")</f>
        <v/>
      </c>
      <c r="I727" s="9" t="str">
        <f t="shared" si="1"/>
        <v/>
      </c>
      <c r="J727" s="9" t="str">
        <f t="shared" si="2"/>
        <v>#REF!</v>
      </c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12">
        <v>726.0</v>
      </c>
      <c r="B728" s="13"/>
      <c r="C728" s="9" t="str">
        <f t="array" ref="C728">IFERROR(INDEX(Data!F:F, MATCH($E728, Data!$B:$B, 0)), "")</f>
        <v/>
      </c>
      <c r="D728" s="9" t="str">
        <f t="array" ref="D728">IFERROR(INDEX(Data!A:A, MATCH($E728, Data!$B:$B, 0)), "")</f>
        <v/>
      </c>
      <c r="E728" s="9" t="str">
        <f>LARGE(Data!$B$2:$B1000,A728 )</f>
        <v>#NUM!</v>
      </c>
      <c r="F728" s="9" t="str">
        <f t="array" ref="F728">IFERROR(INDEX(Data!C:C, MATCH($E728, Data!$B:$B, 0)), "")</f>
        <v/>
      </c>
      <c r="G728" s="9" t="str">
        <f t="array" ref="G728">IFERROR(INDEX(Data!D:D, MATCH($E728, Data!$B:$B, 0)), "")</f>
        <v/>
      </c>
      <c r="H728" s="9" t="str">
        <f t="array" ref="H728">IFERROR(INDEX(Data!E:E, MATCH($E728, Data!$B:$B, 0)), "")</f>
        <v/>
      </c>
      <c r="I728" s="9" t="str">
        <f t="shared" si="1"/>
        <v/>
      </c>
      <c r="J728" s="9" t="str">
        <f t="shared" si="2"/>
        <v>#REF!</v>
      </c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12">
        <v>727.0</v>
      </c>
      <c r="B729" s="13"/>
      <c r="C729" s="9" t="str">
        <f t="array" ref="C729">IFERROR(INDEX(Data!F:F, MATCH($E729, Data!$B:$B, 0)), "")</f>
        <v/>
      </c>
      <c r="D729" s="9" t="str">
        <f t="array" ref="D729">IFERROR(INDEX(Data!A:A, MATCH($E729, Data!$B:$B, 0)), "")</f>
        <v/>
      </c>
      <c r="E729" s="9" t="str">
        <f>LARGE(Data!$B$2:$B1000,A729 )</f>
        <v>#NUM!</v>
      </c>
      <c r="F729" s="9" t="str">
        <f t="array" ref="F729">IFERROR(INDEX(Data!C:C, MATCH($E729, Data!$B:$B, 0)), "")</f>
        <v/>
      </c>
      <c r="G729" s="9" t="str">
        <f t="array" ref="G729">IFERROR(INDEX(Data!D:D, MATCH($E729, Data!$B:$B, 0)), "")</f>
        <v/>
      </c>
      <c r="H729" s="9" t="str">
        <f t="array" ref="H729">IFERROR(INDEX(Data!E:E, MATCH($E729, Data!$B:$B, 0)), "")</f>
        <v/>
      </c>
      <c r="I729" s="9" t="str">
        <f t="shared" si="1"/>
        <v/>
      </c>
      <c r="J729" s="9" t="str">
        <f t="shared" si="2"/>
        <v>#REF!</v>
      </c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12">
        <v>728.0</v>
      </c>
      <c r="B730" s="13"/>
      <c r="C730" s="9" t="str">
        <f t="array" ref="C730">IFERROR(INDEX(Data!F:F, MATCH($E730, Data!$B:$B, 0)), "")</f>
        <v/>
      </c>
      <c r="D730" s="9" t="str">
        <f t="array" ref="D730">IFERROR(INDEX(Data!A:A, MATCH($E730, Data!$B:$B, 0)), "")</f>
        <v/>
      </c>
      <c r="E730" s="9" t="str">
        <f>LARGE(Data!$B$2:$B1000,A730 )</f>
        <v>#NUM!</v>
      </c>
      <c r="F730" s="9" t="str">
        <f t="array" ref="F730">IFERROR(INDEX(Data!C:C, MATCH($E730, Data!$B:$B, 0)), "")</f>
        <v/>
      </c>
      <c r="G730" s="9" t="str">
        <f t="array" ref="G730">IFERROR(INDEX(Data!D:D, MATCH($E730, Data!$B:$B, 0)), "")</f>
        <v/>
      </c>
      <c r="H730" s="9" t="str">
        <f t="array" ref="H730">IFERROR(INDEX(Data!E:E, MATCH($E730, Data!$B:$B, 0)), "")</f>
        <v/>
      </c>
      <c r="I730" s="9" t="str">
        <f t="shared" si="1"/>
        <v/>
      </c>
      <c r="J730" s="9" t="str">
        <f t="shared" si="2"/>
        <v>#REF!</v>
      </c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12">
        <v>729.0</v>
      </c>
      <c r="B731" s="13"/>
      <c r="C731" s="9" t="str">
        <f t="array" ref="C731">IFERROR(INDEX(Data!F:F, MATCH($E731, Data!$B:$B, 0)), "")</f>
        <v/>
      </c>
      <c r="D731" s="9" t="str">
        <f t="array" ref="D731">IFERROR(INDEX(Data!A:A, MATCH($E731, Data!$B:$B, 0)), "")</f>
        <v/>
      </c>
      <c r="E731" s="9" t="str">
        <f>LARGE(Data!$B$2:$B1000,A731 )</f>
        <v>#NUM!</v>
      </c>
      <c r="F731" s="9" t="str">
        <f t="array" ref="F731">IFERROR(INDEX(Data!C:C, MATCH($E731, Data!$B:$B, 0)), "")</f>
        <v/>
      </c>
      <c r="G731" s="9" t="str">
        <f t="array" ref="G731">IFERROR(INDEX(Data!D:D, MATCH($E731, Data!$B:$B, 0)), "")</f>
        <v/>
      </c>
      <c r="H731" s="9" t="str">
        <f t="array" ref="H731">IFERROR(INDEX(Data!E:E, MATCH($E731, Data!$B:$B, 0)), "")</f>
        <v/>
      </c>
      <c r="I731" s="9" t="str">
        <f t="shared" si="1"/>
        <v/>
      </c>
      <c r="J731" s="9" t="str">
        <f t="shared" si="2"/>
        <v>#REF!</v>
      </c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12">
        <v>730.0</v>
      </c>
      <c r="B732" s="13"/>
      <c r="C732" s="9" t="str">
        <f t="array" ref="C732">IFERROR(INDEX(Data!F:F, MATCH($E732, Data!$B:$B, 0)), "")</f>
        <v/>
      </c>
      <c r="D732" s="9" t="str">
        <f t="array" ref="D732">IFERROR(INDEX(Data!A:A, MATCH($E732, Data!$B:$B, 0)), "")</f>
        <v/>
      </c>
      <c r="E732" s="9" t="str">
        <f>LARGE(Data!$B$2:$B1000,A732 )</f>
        <v>#NUM!</v>
      </c>
      <c r="F732" s="9" t="str">
        <f t="array" ref="F732">IFERROR(INDEX(Data!C:C, MATCH($E732, Data!$B:$B, 0)), "")</f>
        <v/>
      </c>
      <c r="G732" s="9" t="str">
        <f t="array" ref="G732">IFERROR(INDEX(Data!D:D, MATCH($E732, Data!$B:$B, 0)), "")</f>
        <v/>
      </c>
      <c r="H732" s="9" t="str">
        <f t="array" ref="H732">IFERROR(INDEX(Data!E:E, MATCH($E732, Data!$B:$B, 0)), "")</f>
        <v/>
      </c>
      <c r="I732" s="9" t="str">
        <f t="shared" si="1"/>
        <v/>
      </c>
      <c r="J732" s="9" t="str">
        <f t="shared" si="2"/>
        <v>#REF!</v>
      </c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12">
        <v>731.0</v>
      </c>
      <c r="B733" s="13"/>
      <c r="C733" s="9" t="str">
        <f t="array" ref="C733">IFERROR(INDEX(Data!F:F, MATCH($E733, Data!$B:$B, 0)), "")</f>
        <v/>
      </c>
      <c r="D733" s="9" t="str">
        <f t="array" ref="D733">IFERROR(INDEX(Data!A:A, MATCH($E733, Data!$B:$B, 0)), "")</f>
        <v/>
      </c>
      <c r="E733" s="9" t="str">
        <f>LARGE(Data!$B$2:$B1000,A733 )</f>
        <v>#NUM!</v>
      </c>
      <c r="F733" s="9" t="str">
        <f t="array" ref="F733">IFERROR(INDEX(Data!C:C, MATCH($E733, Data!$B:$B, 0)), "")</f>
        <v/>
      </c>
      <c r="G733" s="9" t="str">
        <f t="array" ref="G733">IFERROR(INDEX(Data!D:D, MATCH($E733, Data!$B:$B, 0)), "")</f>
        <v/>
      </c>
      <c r="H733" s="9" t="str">
        <f t="array" ref="H733">IFERROR(INDEX(Data!E:E, MATCH($E733, Data!$B:$B, 0)), "")</f>
        <v/>
      </c>
      <c r="I733" s="9" t="str">
        <f t="shared" si="1"/>
        <v/>
      </c>
      <c r="J733" s="9" t="str">
        <f t="shared" si="2"/>
        <v>#REF!</v>
      </c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12">
        <v>732.0</v>
      </c>
      <c r="B734" s="13"/>
      <c r="C734" s="9" t="str">
        <f t="array" ref="C734">IFERROR(INDEX(Data!F:F, MATCH($E734, Data!$B:$B, 0)), "")</f>
        <v/>
      </c>
      <c r="D734" s="9" t="str">
        <f t="array" ref="D734">IFERROR(INDEX(Data!A:A, MATCH($E734, Data!$B:$B, 0)), "")</f>
        <v/>
      </c>
      <c r="E734" s="9" t="str">
        <f>LARGE(Data!$B$2:$B1000,A734 )</f>
        <v>#NUM!</v>
      </c>
      <c r="F734" s="9" t="str">
        <f t="array" ref="F734">IFERROR(INDEX(Data!C:C, MATCH($E734, Data!$B:$B, 0)), "")</f>
        <v/>
      </c>
      <c r="G734" s="9" t="str">
        <f t="array" ref="G734">IFERROR(INDEX(Data!D:D, MATCH($E734, Data!$B:$B, 0)), "")</f>
        <v/>
      </c>
      <c r="H734" s="9" t="str">
        <f t="array" ref="H734">IFERROR(INDEX(Data!E:E, MATCH($E734, Data!$B:$B, 0)), "")</f>
        <v/>
      </c>
      <c r="I734" s="9" t="str">
        <f t="shared" si="1"/>
        <v/>
      </c>
      <c r="J734" s="9" t="str">
        <f t="shared" si="2"/>
        <v>#REF!</v>
      </c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12">
        <v>733.0</v>
      </c>
      <c r="B735" s="13"/>
      <c r="C735" s="9" t="str">
        <f t="array" ref="C735">IFERROR(INDEX(Data!F:F, MATCH($E735, Data!$B:$B, 0)), "")</f>
        <v/>
      </c>
      <c r="D735" s="9" t="str">
        <f t="array" ref="D735">IFERROR(INDEX(Data!A:A, MATCH($E735, Data!$B:$B, 0)), "")</f>
        <v/>
      </c>
      <c r="E735" s="9" t="str">
        <f>LARGE(Data!$B$2:$B1000,A735 )</f>
        <v>#NUM!</v>
      </c>
      <c r="F735" s="9" t="str">
        <f t="array" ref="F735">IFERROR(INDEX(Data!C:C, MATCH($E735, Data!$B:$B, 0)), "")</f>
        <v/>
      </c>
      <c r="G735" s="9" t="str">
        <f t="array" ref="G735">IFERROR(INDEX(Data!D:D, MATCH($E735, Data!$B:$B, 0)), "")</f>
        <v/>
      </c>
      <c r="H735" s="9" t="str">
        <f t="array" ref="H735">IFERROR(INDEX(Data!E:E, MATCH($E735, Data!$B:$B, 0)), "")</f>
        <v/>
      </c>
      <c r="I735" s="9" t="str">
        <f t="shared" si="1"/>
        <v/>
      </c>
      <c r="J735" s="9" t="str">
        <f t="shared" si="2"/>
        <v>#REF!</v>
      </c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12">
        <v>734.0</v>
      </c>
      <c r="B736" s="13"/>
      <c r="C736" s="9" t="str">
        <f t="array" ref="C736">IFERROR(INDEX(Data!F:F, MATCH($E736, Data!$B:$B, 0)), "")</f>
        <v/>
      </c>
      <c r="D736" s="9" t="str">
        <f t="array" ref="D736">IFERROR(INDEX(Data!A:A, MATCH($E736, Data!$B:$B, 0)), "")</f>
        <v/>
      </c>
      <c r="E736" s="9" t="str">
        <f>LARGE(Data!$B$2:$B1000,A736 )</f>
        <v>#NUM!</v>
      </c>
      <c r="F736" s="9" t="str">
        <f t="array" ref="F736">IFERROR(INDEX(Data!C:C, MATCH($E736, Data!$B:$B, 0)), "")</f>
        <v/>
      </c>
      <c r="G736" s="9" t="str">
        <f t="array" ref="G736">IFERROR(INDEX(Data!D:D, MATCH($E736, Data!$B:$B, 0)), "")</f>
        <v/>
      </c>
      <c r="H736" s="9" t="str">
        <f t="array" ref="H736">IFERROR(INDEX(Data!E:E, MATCH($E736, Data!$B:$B, 0)), "")</f>
        <v/>
      </c>
      <c r="I736" s="9" t="str">
        <f t="shared" si="1"/>
        <v/>
      </c>
      <c r="J736" s="9" t="str">
        <f t="shared" si="2"/>
        <v>#REF!</v>
      </c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12">
        <v>735.0</v>
      </c>
      <c r="B737" s="13"/>
      <c r="C737" s="9" t="str">
        <f t="array" ref="C737">IFERROR(INDEX(Data!F:F, MATCH($E737, Data!$B:$B, 0)), "")</f>
        <v/>
      </c>
      <c r="D737" s="9" t="str">
        <f t="array" ref="D737">IFERROR(INDEX(Data!A:A, MATCH($E737, Data!$B:$B, 0)), "")</f>
        <v/>
      </c>
      <c r="E737" s="9" t="str">
        <f>LARGE(Data!$B$2:$B1000,A737 )</f>
        <v>#NUM!</v>
      </c>
      <c r="F737" s="9" t="str">
        <f t="array" ref="F737">IFERROR(INDEX(Data!C:C, MATCH($E737, Data!$B:$B, 0)), "")</f>
        <v/>
      </c>
      <c r="G737" s="9" t="str">
        <f t="array" ref="G737">IFERROR(INDEX(Data!D:D, MATCH($E737, Data!$B:$B, 0)), "")</f>
        <v/>
      </c>
      <c r="H737" s="9" t="str">
        <f t="array" ref="H737">IFERROR(INDEX(Data!E:E, MATCH($E737, Data!$B:$B, 0)), "")</f>
        <v/>
      </c>
      <c r="I737" s="9" t="str">
        <f t="shared" si="1"/>
        <v/>
      </c>
      <c r="J737" s="9" t="str">
        <f t="shared" si="2"/>
        <v>#REF!</v>
      </c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12">
        <v>736.0</v>
      </c>
      <c r="B738" s="13"/>
      <c r="C738" s="9" t="str">
        <f t="array" ref="C738">IFERROR(INDEX(Data!F:F, MATCH($E738, Data!$B:$B, 0)), "")</f>
        <v/>
      </c>
      <c r="D738" s="9" t="str">
        <f t="array" ref="D738">IFERROR(INDEX(Data!A:A, MATCH($E738, Data!$B:$B, 0)), "")</f>
        <v/>
      </c>
      <c r="E738" s="9" t="str">
        <f>LARGE(Data!$B$2:$B1000,A738 )</f>
        <v>#NUM!</v>
      </c>
      <c r="F738" s="9" t="str">
        <f t="array" ref="F738">IFERROR(INDEX(Data!C:C, MATCH($E738, Data!$B:$B, 0)), "")</f>
        <v/>
      </c>
      <c r="G738" s="9" t="str">
        <f t="array" ref="G738">IFERROR(INDEX(Data!D:D, MATCH($E738, Data!$B:$B, 0)), "")</f>
        <v/>
      </c>
      <c r="H738" s="9" t="str">
        <f t="array" ref="H738">IFERROR(INDEX(Data!E:E, MATCH($E738, Data!$B:$B, 0)), "")</f>
        <v/>
      </c>
      <c r="I738" s="9" t="str">
        <f t="shared" si="1"/>
        <v/>
      </c>
      <c r="J738" s="9" t="str">
        <f t="shared" si="2"/>
        <v>#REF!</v>
      </c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12">
        <v>737.0</v>
      </c>
      <c r="B739" s="13"/>
      <c r="C739" s="9" t="str">
        <f t="array" ref="C739">IFERROR(INDEX(Data!F:F, MATCH($E739, Data!$B:$B, 0)), "")</f>
        <v/>
      </c>
      <c r="D739" s="9" t="str">
        <f t="array" ref="D739">IFERROR(INDEX(Data!A:A, MATCH($E739, Data!$B:$B, 0)), "")</f>
        <v/>
      </c>
      <c r="E739" s="9" t="str">
        <f>LARGE(Data!$B$2:$B1000,A739 )</f>
        <v>#NUM!</v>
      </c>
      <c r="F739" s="9" t="str">
        <f t="array" ref="F739">IFERROR(INDEX(Data!C:C, MATCH($E739, Data!$B:$B, 0)), "")</f>
        <v/>
      </c>
      <c r="G739" s="9" t="str">
        <f t="array" ref="G739">IFERROR(INDEX(Data!D:D, MATCH($E739, Data!$B:$B, 0)), "")</f>
        <v/>
      </c>
      <c r="H739" s="9" t="str">
        <f t="array" ref="H739">IFERROR(INDEX(Data!E:E, MATCH($E739, Data!$B:$B, 0)), "")</f>
        <v/>
      </c>
      <c r="I739" s="9" t="str">
        <f t="shared" si="1"/>
        <v/>
      </c>
      <c r="J739" s="9" t="str">
        <f t="shared" si="2"/>
        <v>#REF!</v>
      </c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12">
        <v>738.0</v>
      </c>
      <c r="B740" s="13"/>
      <c r="C740" s="9" t="str">
        <f t="array" ref="C740">IFERROR(INDEX(Data!F:F, MATCH($E740, Data!$B:$B, 0)), "")</f>
        <v/>
      </c>
      <c r="D740" s="9" t="str">
        <f t="array" ref="D740">IFERROR(INDEX(Data!A:A, MATCH($E740, Data!$B:$B, 0)), "")</f>
        <v/>
      </c>
      <c r="E740" s="9" t="str">
        <f>LARGE(Data!$B$2:$B1000,A740 )</f>
        <v>#NUM!</v>
      </c>
      <c r="F740" s="9" t="str">
        <f t="array" ref="F740">IFERROR(INDEX(Data!C:C, MATCH($E740, Data!$B:$B, 0)), "")</f>
        <v/>
      </c>
      <c r="G740" s="9" t="str">
        <f t="array" ref="G740">IFERROR(INDEX(Data!D:D, MATCH($E740, Data!$B:$B, 0)), "")</f>
        <v/>
      </c>
      <c r="H740" s="9" t="str">
        <f t="array" ref="H740">IFERROR(INDEX(Data!E:E, MATCH($E740, Data!$B:$B, 0)), "")</f>
        <v/>
      </c>
      <c r="I740" s="9" t="str">
        <f t="shared" si="1"/>
        <v/>
      </c>
      <c r="J740" s="9" t="str">
        <f t="shared" si="2"/>
        <v>#REF!</v>
      </c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12">
        <v>739.0</v>
      </c>
      <c r="B741" s="13"/>
      <c r="C741" s="9" t="str">
        <f t="array" ref="C741">IFERROR(INDEX(Data!F:F, MATCH($E741, Data!$B:$B, 0)), "")</f>
        <v/>
      </c>
      <c r="D741" s="9" t="str">
        <f t="array" ref="D741">IFERROR(INDEX(Data!A:A, MATCH($E741, Data!$B:$B, 0)), "")</f>
        <v/>
      </c>
      <c r="E741" s="9" t="str">
        <f>LARGE(Data!$B$2:$B1000,A741 )</f>
        <v>#NUM!</v>
      </c>
      <c r="F741" s="9" t="str">
        <f t="array" ref="F741">IFERROR(INDEX(Data!C:C, MATCH($E741, Data!$B:$B, 0)), "")</f>
        <v/>
      </c>
      <c r="G741" s="9" t="str">
        <f t="array" ref="G741">IFERROR(INDEX(Data!D:D, MATCH($E741, Data!$B:$B, 0)), "")</f>
        <v/>
      </c>
      <c r="H741" s="9" t="str">
        <f t="array" ref="H741">IFERROR(INDEX(Data!E:E, MATCH($E741, Data!$B:$B, 0)), "")</f>
        <v/>
      </c>
      <c r="I741" s="9" t="str">
        <f t="shared" si="1"/>
        <v/>
      </c>
      <c r="J741" s="9" t="str">
        <f t="shared" si="2"/>
        <v>#REF!</v>
      </c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12">
        <v>740.0</v>
      </c>
      <c r="B742" s="13"/>
      <c r="C742" s="9" t="str">
        <f t="array" ref="C742">IFERROR(INDEX(Data!F:F, MATCH($E742, Data!$B:$B, 0)), "")</f>
        <v/>
      </c>
      <c r="D742" s="9" t="str">
        <f t="array" ref="D742">IFERROR(INDEX(Data!A:A, MATCH($E742, Data!$B:$B, 0)), "")</f>
        <v/>
      </c>
      <c r="E742" s="9" t="str">
        <f>LARGE(Data!$B$2:$B1000,A742 )</f>
        <v>#NUM!</v>
      </c>
      <c r="F742" s="9" t="str">
        <f t="array" ref="F742">IFERROR(INDEX(Data!C:C, MATCH($E742, Data!$B:$B, 0)), "")</f>
        <v/>
      </c>
      <c r="G742" s="9" t="str">
        <f t="array" ref="G742">IFERROR(INDEX(Data!D:D, MATCH($E742, Data!$B:$B, 0)), "")</f>
        <v/>
      </c>
      <c r="H742" s="9" t="str">
        <f t="array" ref="H742">IFERROR(INDEX(Data!E:E, MATCH($E742, Data!$B:$B, 0)), "")</f>
        <v/>
      </c>
      <c r="I742" s="9" t="str">
        <f t="shared" si="1"/>
        <v/>
      </c>
      <c r="J742" s="9" t="str">
        <f t="shared" si="2"/>
        <v>#REF!</v>
      </c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12">
        <v>741.0</v>
      </c>
      <c r="B743" s="13"/>
      <c r="C743" s="9" t="str">
        <f t="array" ref="C743">IFERROR(INDEX(Data!F:F, MATCH($E743, Data!$B:$B, 0)), "")</f>
        <v/>
      </c>
      <c r="D743" s="9" t="str">
        <f t="array" ref="D743">IFERROR(INDEX(Data!A:A, MATCH($E743, Data!$B:$B, 0)), "")</f>
        <v/>
      </c>
      <c r="E743" s="9" t="str">
        <f>LARGE(Data!$B$2:$B1000,A743 )</f>
        <v>#NUM!</v>
      </c>
      <c r="F743" s="9" t="str">
        <f t="array" ref="F743">IFERROR(INDEX(Data!C:C, MATCH($E743, Data!$B:$B, 0)), "")</f>
        <v/>
      </c>
      <c r="G743" s="9" t="str">
        <f t="array" ref="G743">IFERROR(INDEX(Data!D:D, MATCH($E743, Data!$B:$B, 0)), "")</f>
        <v/>
      </c>
      <c r="H743" s="9" t="str">
        <f t="array" ref="H743">IFERROR(INDEX(Data!E:E, MATCH($E743, Data!$B:$B, 0)), "")</f>
        <v/>
      </c>
      <c r="I743" s="9" t="str">
        <f t="shared" si="1"/>
        <v/>
      </c>
      <c r="J743" s="9" t="str">
        <f t="shared" si="2"/>
        <v>#REF!</v>
      </c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12">
        <v>742.0</v>
      </c>
      <c r="B744" s="13"/>
      <c r="C744" s="9" t="str">
        <f t="array" ref="C744">IFERROR(INDEX(Data!F:F, MATCH($E744, Data!$B:$B, 0)), "")</f>
        <v/>
      </c>
      <c r="D744" s="9" t="str">
        <f t="array" ref="D744">IFERROR(INDEX(Data!A:A, MATCH($E744, Data!$B:$B, 0)), "")</f>
        <v/>
      </c>
      <c r="E744" s="9" t="str">
        <f>LARGE(Data!$B$2:$B1000,A744 )</f>
        <v>#NUM!</v>
      </c>
      <c r="F744" s="9" t="str">
        <f t="array" ref="F744">IFERROR(INDEX(Data!C:C, MATCH($E744, Data!$B:$B, 0)), "")</f>
        <v/>
      </c>
      <c r="G744" s="9" t="str">
        <f t="array" ref="G744">IFERROR(INDEX(Data!D:D, MATCH($E744, Data!$B:$B, 0)), "")</f>
        <v/>
      </c>
      <c r="H744" s="9" t="str">
        <f t="array" ref="H744">IFERROR(INDEX(Data!E:E, MATCH($E744, Data!$B:$B, 0)), "")</f>
        <v/>
      </c>
      <c r="I744" s="9" t="str">
        <f t="shared" si="1"/>
        <v/>
      </c>
      <c r="J744" s="9" t="str">
        <f t="shared" si="2"/>
        <v>#REF!</v>
      </c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12">
        <v>743.0</v>
      </c>
      <c r="B745" s="13"/>
      <c r="C745" s="9" t="str">
        <f t="array" ref="C745">IFERROR(INDEX(Data!F:F, MATCH($E745, Data!$B:$B, 0)), "")</f>
        <v/>
      </c>
      <c r="D745" s="9" t="str">
        <f t="array" ref="D745">IFERROR(INDEX(Data!A:A, MATCH($E745, Data!$B:$B, 0)), "")</f>
        <v/>
      </c>
      <c r="E745" s="9" t="str">
        <f>LARGE(Data!$B$2:$B1000,A745 )</f>
        <v>#NUM!</v>
      </c>
      <c r="F745" s="9" t="str">
        <f t="array" ref="F745">IFERROR(INDEX(Data!C:C, MATCH($E745, Data!$B:$B, 0)), "")</f>
        <v/>
      </c>
      <c r="G745" s="9" t="str">
        <f t="array" ref="G745">IFERROR(INDEX(Data!D:D, MATCH($E745, Data!$B:$B, 0)), "")</f>
        <v/>
      </c>
      <c r="H745" s="9" t="str">
        <f t="array" ref="H745">IFERROR(INDEX(Data!E:E, MATCH($E745, Data!$B:$B, 0)), "")</f>
        <v/>
      </c>
      <c r="I745" s="9" t="str">
        <f t="shared" si="1"/>
        <v/>
      </c>
      <c r="J745" s="9" t="str">
        <f t="shared" si="2"/>
        <v>#REF!</v>
      </c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12">
        <v>744.0</v>
      </c>
      <c r="B746" s="13"/>
      <c r="C746" s="9" t="str">
        <f t="array" ref="C746">IFERROR(INDEX(Data!F:F, MATCH($E746, Data!$B:$B, 0)), "")</f>
        <v/>
      </c>
      <c r="D746" s="9" t="str">
        <f t="array" ref="D746">IFERROR(INDEX(Data!A:A, MATCH($E746, Data!$B:$B, 0)), "")</f>
        <v/>
      </c>
      <c r="E746" s="9" t="str">
        <f>LARGE(Data!$B$2:$B1000,A746 )</f>
        <v>#NUM!</v>
      </c>
      <c r="F746" s="9" t="str">
        <f t="array" ref="F746">IFERROR(INDEX(Data!C:C, MATCH($E746, Data!$B:$B, 0)), "")</f>
        <v/>
      </c>
      <c r="G746" s="9" t="str">
        <f t="array" ref="G746">IFERROR(INDEX(Data!D:D, MATCH($E746, Data!$B:$B, 0)), "")</f>
        <v/>
      </c>
      <c r="H746" s="9" t="str">
        <f t="array" ref="H746">IFERROR(INDEX(Data!E:E, MATCH($E746, Data!$B:$B, 0)), "")</f>
        <v/>
      </c>
      <c r="I746" s="9" t="str">
        <f t="shared" si="1"/>
        <v/>
      </c>
      <c r="J746" s="9" t="str">
        <f t="shared" si="2"/>
        <v>#REF!</v>
      </c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12">
        <v>745.0</v>
      </c>
      <c r="B747" s="13"/>
      <c r="C747" s="9" t="str">
        <f t="array" ref="C747">IFERROR(INDEX(Data!F:F, MATCH($E747, Data!$B:$B, 0)), "")</f>
        <v/>
      </c>
      <c r="D747" s="9" t="str">
        <f t="array" ref="D747">IFERROR(INDEX(Data!A:A, MATCH($E747, Data!$B:$B, 0)), "")</f>
        <v/>
      </c>
      <c r="E747" s="9" t="str">
        <f>LARGE(Data!$B$2:$B1000,A747 )</f>
        <v>#NUM!</v>
      </c>
      <c r="F747" s="9" t="str">
        <f t="array" ref="F747">IFERROR(INDEX(Data!C:C, MATCH($E747, Data!$B:$B, 0)), "")</f>
        <v/>
      </c>
      <c r="G747" s="9" t="str">
        <f t="array" ref="G747">IFERROR(INDEX(Data!D:D, MATCH($E747, Data!$B:$B, 0)), "")</f>
        <v/>
      </c>
      <c r="H747" s="9" t="str">
        <f t="array" ref="H747">IFERROR(INDEX(Data!E:E, MATCH($E747, Data!$B:$B, 0)), "")</f>
        <v/>
      </c>
      <c r="I747" s="9" t="str">
        <f t="shared" si="1"/>
        <v/>
      </c>
      <c r="J747" s="9" t="str">
        <f t="shared" si="2"/>
        <v>#REF!</v>
      </c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12">
        <v>746.0</v>
      </c>
      <c r="B748" s="13"/>
      <c r="C748" s="9" t="str">
        <f t="array" ref="C748">IFERROR(INDEX(Data!F:F, MATCH($E748, Data!$B:$B, 0)), "")</f>
        <v/>
      </c>
      <c r="D748" s="9" t="str">
        <f t="array" ref="D748">IFERROR(INDEX(Data!A:A, MATCH($E748, Data!$B:$B, 0)), "")</f>
        <v/>
      </c>
      <c r="E748" s="9" t="str">
        <f>LARGE(Data!$B$2:$B1000,A748 )</f>
        <v>#NUM!</v>
      </c>
      <c r="F748" s="9" t="str">
        <f t="array" ref="F748">IFERROR(INDEX(Data!C:C, MATCH($E748, Data!$B:$B, 0)), "")</f>
        <v/>
      </c>
      <c r="G748" s="9" t="str">
        <f t="array" ref="G748">IFERROR(INDEX(Data!D:D, MATCH($E748, Data!$B:$B, 0)), "")</f>
        <v/>
      </c>
      <c r="H748" s="9" t="str">
        <f t="array" ref="H748">IFERROR(INDEX(Data!E:E, MATCH($E748, Data!$B:$B, 0)), "")</f>
        <v/>
      </c>
      <c r="I748" s="9" t="str">
        <f t="shared" si="1"/>
        <v/>
      </c>
      <c r="J748" s="9" t="str">
        <f t="shared" si="2"/>
        <v>#REF!</v>
      </c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12">
        <v>747.0</v>
      </c>
      <c r="B749" s="13"/>
      <c r="C749" s="9" t="str">
        <f t="array" ref="C749">IFERROR(INDEX(Data!F:F, MATCH($E749, Data!$B:$B, 0)), "")</f>
        <v/>
      </c>
      <c r="D749" s="9" t="str">
        <f t="array" ref="D749">IFERROR(INDEX(Data!A:A, MATCH($E749, Data!$B:$B, 0)), "")</f>
        <v/>
      </c>
      <c r="E749" s="9" t="str">
        <f>LARGE(Data!$B$2:$B1000,A749 )</f>
        <v>#NUM!</v>
      </c>
      <c r="F749" s="9" t="str">
        <f t="array" ref="F749">IFERROR(INDEX(Data!C:C, MATCH($E749, Data!$B:$B, 0)), "")</f>
        <v/>
      </c>
      <c r="G749" s="9" t="str">
        <f t="array" ref="G749">IFERROR(INDEX(Data!D:D, MATCH($E749, Data!$B:$B, 0)), "")</f>
        <v/>
      </c>
      <c r="H749" s="9" t="str">
        <f t="array" ref="H749">IFERROR(INDEX(Data!E:E, MATCH($E749, Data!$B:$B, 0)), "")</f>
        <v/>
      </c>
      <c r="I749" s="9" t="str">
        <f t="shared" si="1"/>
        <v/>
      </c>
      <c r="J749" s="9" t="str">
        <f t="shared" si="2"/>
        <v>#REF!</v>
      </c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12">
        <v>748.0</v>
      </c>
      <c r="B750" s="13"/>
      <c r="C750" s="9" t="str">
        <f t="array" ref="C750">IFERROR(INDEX(Data!F:F, MATCH($E750, Data!$B:$B, 0)), "")</f>
        <v/>
      </c>
      <c r="D750" s="9" t="str">
        <f t="array" ref="D750">IFERROR(INDEX(Data!A:A, MATCH($E750, Data!$B:$B, 0)), "")</f>
        <v/>
      </c>
      <c r="E750" s="9" t="str">
        <f>LARGE(Data!$B$2:$B1000,A750 )</f>
        <v>#NUM!</v>
      </c>
      <c r="F750" s="9" t="str">
        <f t="array" ref="F750">IFERROR(INDEX(Data!C:C, MATCH($E750, Data!$B:$B, 0)), "")</f>
        <v/>
      </c>
      <c r="G750" s="9" t="str">
        <f t="array" ref="G750">IFERROR(INDEX(Data!D:D, MATCH($E750, Data!$B:$B, 0)), "")</f>
        <v/>
      </c>
      <c r="H750" s="9" t="str">
        <f t="array" ref="H750">IFERROR(INDEX(Data!E:E, MATCH($E750, Data!$B:$B, 0)), "")</f>
        <v/>
      </c>
      <c r="I750" s="9" t="str">
        <f t="shared" si="1"/>
        <v/>
      </c>
      <c r="J750" s="9" t="str">
        <f t="shared" si="2"/>
        <v>#REF!</v>
      </c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12">
        <v>749.0</v>
      </c>
      <c r="B751" s="13"/>
      <c r="C751" s="9" t="str">
        <f t="array" ref="C751">IFERROR(INDEX(Data!F:F, MATCH($E751, Data!$B:$B, 0)), "")</f>
        <v/>
      </c>
      <c r="D751" s="9" t="str">
        <f t="array" ref="D751">IFERROR(INDEX(Data!A:A, MATCH($E751, Data!$B:$B, 0)), "")</f>
        <v/>
      </c>
      <c r="E751" s="9" t="str">
        <f>LARGE(Data!$B$2:$B1000,A751 )</f>
        <v>#NUM!</v>
      </c>
      <c r="F751" s="9" t="str">
        <f t="array" ref="F751">IFERROR(INDEX(Data!C:C, MATCH($E751, Data!$B:$B, 0)), "")</f>
        <v/>
      </c>
      <c r="G751" s="9" t="str">
        <f t="array" ref="G751">IFERROR(INDEX(Data!D:D, MATCH($E751, Data!$B:$B, 0)), "")</f>
        <v/>
      </c>
      <c r="H751" s="9" t="str">
        <f t="array" ref="H751">IFERROR(INDEX(Data!E:E, MATCH($E751, Data!$B:$B, 0)), "")</f>
        <v/>
      </c>
      <c r="I751" s="9" t="str">
        <f t="shared" si="1"/>
        <v/>
      </c>
      <c r="J751" s="9" t="str">
        <f t="shared" si="2"/>
        <v>#REF!</v>
      </c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12">
        <v>750.0</v>
      </c>
      <c r="B752" s="13"/>
      <c r="C752" s="9" t="str">
        <f t="array" ref="C752">IFERROR(INDEX(Data!F:F, MATCH($E752, Data!$B:$B, 0)), "")</f>
        <v/>
      </c>
      <c r="D752" s="9" t="str">
        <f t="array" ref="D752">IFERROR(INDEX(Data!A:A, MATCH($E752, Data!$B:$B, 0)), "")</f>
        <v/>
      </c>
      <c r="E752" s="9" t="str">
        <f>LARGE(Data!$B$2:$B1000,A752 )</f>
        <v>#NUM!</v>
      </c>
      <c r="F752" s="9" t="str">
        <f t="array" ref="F752">IFERROR(INDEX(Data!C:C, MATCH($E752, Data!$B:$B, 0)), "")</f>
        <v/>
      </c>
      <c r="G752" s="9" t="str">
        <f t="array" ref="G752">IFERROR(INDEX(Data!D:D, MATCH($E752, Data!$B:$B, 0)), "")</f>
        <v/>
      </c>
      <c r="H752" s="9" t="str">
        <f t="array" ref="H752">IFERROR(INDEX(Data!E:E, MATCH($E752, Data!$B:$B, 0)), "")</f>
        <v/>
      </c>
      <c r="I752" s="9" t="str">
        <f t="shared" si="1"/>
        <v/>
      </c>
      <c r="J752" s="9" t="str">
        <f t="shared" si="2"/>
        <v>#REF!</v>
      </c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12">
        <v>751.0</v>
      </c>
      <c r="B753" s="13"/>
      <c r="C753" s="9" t="str">
        <f t="array" ref="C753">IFERROR(INDEX(Data!F:F, MATCH($E753, Data!$B:$B, 0)), "")</f>
        <v/>
      </c>
      <c r="D753" s="9" t="str">
        <f t="array" ref="D753">IFERROR(INDEX(Data!A:A, MATCH($E753, Data!$B:$B, 0)), "")</f>
        <v/>
      </c>
      <c r="E753" s="9" t="str">
        <f>LARGE(Data!$B$2:$B1000,A753 )</f>
        <v>#NUM!</v>
      </c>
      <c r="F753" s="9" t="str">
        <f t="array" ref="F753">IFERROR(INDEX(Data!C:C, MATCH($E753, Data!$B:$B, 0)), "")</f>
        <v/>
      </c>
      <c r="G753" s="9" t="str">
        <f t="array" ref="G753">IFERROR(INDEX(Data!D:D, MATCH($E753, Data!$B:$B, 0)), "")</f>
        <v/>
      </c>
      <c r="H753" s="9" t="str">
        <f t="array" ref="H753">IFERROR(INDEX(Data!E:E, MATCH($E753, Data!$B:$B, 0)), "")</f>
        <v/>
      </c>
      <c r="I753" s="9" t="str">
        <f t="shared" si="1"/>
        <v/>
      </c>
      <c r="J753" s="9" t="str">
        <f t="shared" si="2"/>
        <v>#REF!</v>
      </c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12">
        <v>752.0</v>
      </c>
      <c r="B754" s="13"/>
      <c r="C754" s="9" t="str">
        <f t="array" ref="C754">IFERROR(INDEX(Data!F:F, MATCH($E754, Data!$B:$B, 0)), "")</f>
        <v/>
      </c>
      <c r="D754" s="9" t="str">
        <f t="array" ref="D754">IFERROR(INDEX(Data!A:A, MATCH($E754, Data!$B:$B, 0)), "")</f>
        <v/>
      </c>
      <c r="E754" s="9" t="str">
        <f>LARGE(Data!$B$2:$B1000,A754 )</f>
        <v>#NUM!</v>
      </c>
      <c r="F754" s="9" t="str">
        <f t="array" ref="F754">IFERROR(INDEX(Data!C:C, MATCH($E754, Data!$B:$B, 0)), "")</f>
        <v/>
      </c>
      <c r="G754" s="9" t="str">
        <f t="array" ref="G754">IFERROR(INDEX(Data!D:D, MATCH($E754, Data!$B:$B, 0)), "")</f>
        <v/>
      </c>
      <c r="H754" s="9" t="str">
        <f t="array" ref="H754">IFERROR(INDEX(Data!E:E, MATCH($E754, Data!$B:$B, 0)), "")</f>
        <v/>
      </c>
      <c r="I754" s="9" t="str">
        <f t="shared" si="1"/>
        <v/>
      </c>
      <c r="J754" s="9" t="str">
        <f t="shared" si="2"/>
        <v>#REF!</v>
      </c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12">
        <v>753.0</v>
      </c>
      <c r="B755" s="13"/>
      <c r="C755" s="9" t="str">
        <f t="array" ref="C755">IFERROR(INDEX(Data!F:F, MATCH($E755, Data!$B:$B, 0)), "")</f>
        <v/>
      </c>
      <c r="D755" s="9" t="str">
        <f t="array" ref="D755">IFERROR(INDEX(Data!A:A, MATCH($E755, Data!$B:$B, 0)), "")</f>
        <v/>
      </c>
      <c r="E755" s="9" t="str">
        <f>LARGE(Data!$B$2:$B1000,A755 )</f>
        <v>#NUM!</v>
      </c>
      <c r="F755" s="9" t="str">
        <f t="array" ref="F755">IFERROR(INDEX(Data!C:C, MATCH($E755, Data!$B:$B, 0)), "")</f>
        <v/>
      </c>
      <c r="G755" s="9" t="str">
        <f t="array" ref="G755">IFERROR(INDEX(Data!D:D, MATCH($E755, Data!$B:$B, 0)), "")</f>
        <v/>
      </c>
      <c r="H755" s="9" t="str">
        <f t="array" ref="H755">IFERROR(INDEX(Data!E:E, MATCH($E755, Data!$B:$B, 0)), "")</f>
        <v/>
      </c>
      <c r="I755" s="9" t="str">
        <f t="shared" si="1"/>
        <v/>
      </c>
      <c r="J755" s="9" t="str">
        <f t="shared" si="2"/>
        <v>#REF!</v>
      </c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12">
        <v>754.0</v>
      </c>
      <c r="B756" s="13"/>
      <c r="C756" s="9" t="str">
        <f t="array" ref="C756">IFERROR(INDEX(Data!F:F, MATCH($E756, Data!$B:$B, 0)), "")</f>
        <v/>
      </c>
      <c r="D756" s="9" t="str">
        <f t="array" ref="D756">IFERROR(INDEX(Data!A:A, MATCH($E756, Data!$B:$B, 0)), "")</f>
        <v/>
      </c>
      <c r="E756" s="9" t="str">
        <f>LARGE(Data!$B$2:$B1000,A756 )</f>
        <v>#NUM!</v>
      </c>
      <c r="F756" s="9" t="str">
        <f t="array" ref="F756">IFERROR(INDEX(Data!C:C, MATCH($E756, Data!$B:$B, 0)), "")</f>
        <v/>
      </c>
      <c r="G756" s="9" t="str">
        <f t="array" ref="G756">IFERROR(INDEX(Data!D:D, MATCH($E756, Data!$B:$B, 0)), "")</f>
        <v/>
      </c>
      <c r="H756" s="9" t="str">
        <f t="array" ref="H756">IFERROR(INDEX(Data!E:E, MATCH($E756, Data!$B:$B, 0)), "")</f>
        <v/>
      </c>
      <c r="I756" s="9" t="str">
        <f t="shared" si="1"/>
        <v/>
      </c>
      <c r="J756" s="9" t="str">
        <f t="shared" si="2"/>
        <v>#REF!</v>
      </c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12">
        <v>755.0</v>
      </c>
      <c r="B757" s="13"/>
      <c r="C757" s="9" t="str">
        <f t="array" ref="C757">IFERROR(INDEX(Data!F:F, MATCH($E757, Data!$B:$B, 0)), "")</f>
        <v/>
      </c>
      <c r="D757" s="9" t="str">
        <f t="array" ref="D757">IFERROR(INDEX(Data!A:A, MATCH($E757, Data!$B:$B, 0)), "")</f>
        <v/>
      </c>
      <c r="E757" s="9" t="str">
        <f>LARGE(Data!$B$2:$B1000,A757 )</f>
        <v>#NUM!</v>
      </c>
      <c r="F757" s="9" t="str">
        <f t="array" ref="F757">IFERROR(INDEX(Data!C:C, MATCH($E757, Data!$B:$B, 0)), "")</f>
        <v/>
      </c>
      <c r="G757" s="9" t="str">
        <f t="array" ref="G757">IFERROR(INDEX(Data!D:D, MATCH($E757, Data!$B:$B, 0)), "")</f>
        <v/>
      </c>
      <c r="H757" s="9" t="str">
        <f t="array" ref="H757">IFERROR(INDEX(Data!E:E, MATCH($E757, Data!$B:$B, 0)), "")</f>
        <v/>
      </c>
      <c r="I757" s="9" t="str">
        <f t="shared" si="1"/>
        <v/>
      </c>
      <c r="J757" s="9" t="str">
        <f t="shared" si="2"/>
        <v>#REF!</v>
      </c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12">
        <v>756.0</v>
      </c>
      <c r="B758" s="13"/>
      <c r="C758" s="9" t="str">
        <f t="array" ref="C758">IFERROR(INDEX(Data!F:F, MATCH($E758, Data!$B:$B, 0)), "")</f>
        <v/>
      </c>
      <c r="D758" s="9" t="str">
        <f t="array" ref="D758">IFERROR(INDEX(Data!A:A, MATCH($E758, Data!$B:$B, 0)), "")</f>
        <v/>
      </c>
      <c r="E758" s="9" t="str">
        <f>LARGE(Data!$B$2:$B1000,A758 )</f>
        <v>#NUM!</v>
      </c>
      <c r="F758" s="9" t="str">
        <f t="array" ref="F758">IFERROR(INDEX(Data!C:C, MATCH($E758, Data!$B:$B, 0)), "")</f>
        <v/>
      </c>
      <c r="G758" s="9" t="str">
        <f t="array" ref="G758">IFERROR(INDEX(Data!D:D, MATCH($E758, Data!$B:$B, 0)), "")</f>
        <v/>
      </c>
      <c r="H758" s="9" t="str">
        <f t="array" ref="H758">IFERROR(INDEX(Data!E:E, MATCH($E758, Data!$B:$B, 0)), "")</f>
        <v/>
      </c>
      <c r="I758" s="9" t="str">
        <f t="shared" si="1"/>
        <v/>
      </c>
      <c r="J758" s="9" t="str">
        <f t="shared" si="2"/>
        <v>#REF!</v>
      </c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12">
        <v>757.0</v>
      </c>
      <c r="B759" s="13"/>
      <c r="C759" s="9" t="str">
        <f t="array" ref="C759">IFERROR(INDEX(Data!F:F, MATCH($E759, Data!$B:$B, 0)), "")</f>
        <v/>
      </c>
      <c r="D759" s="9" t="str">
        <f t="array" ref="D759">IFERROR(INDEX(Data!A:A, MATCH($E759, Data!$B:$B, 0)), "")</f>
        <v/>
      </c>
      <c r="E759" s="9" t="str">
        <f>LARGE(Data!$B$2:$B1000,A759 )</f>
        <v>#NUM!</v>
      </c>
      <c r="F759" s="9" t="str">
        <f t="array" ref="F759">IFERROR(INDEX(Data!C:C, MATCH($E759, Data!$B:$B, 0)), "")</f>
        <v/>
      </c>
      <c r="G759" s="9" t="str">
        <f t="array" ref="G759">IFERROR(INDEX(Data!D:D, MATCH($E759, Data!$B:$B, 0)), "")</f>
        <v/>
      </c>
      <c r="H759" s="9" t="str">
        <f t="array" ref="H759">IFERROR(INDEX(Data!E:E, MATCH($E759, Data!$B:$B, 0)), "")</f>
        <v/>
      </c>
      <c r="I759" s="9" t="str">
        <f t="shared" si="1"/>
        <v/>
      </c>
      <c r="J759" s="9" t="str">
        <f t="shared" si="2"/>
        <v>#REF!</v>
      </c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12">
        <v>758.0</v>
      </c>
      <c r="B760" s="13"/>
      <c r="C760" s="9" t="str">
        <f t="array" ref="C760">IFERROR(INDEX(Data!F:F, MATCH($E760, Data!$B:$B, 0)), "")</f>
        <v/>
      </c>
      <c r="D760" s="9" t="str">
        <f t="array" ref="D760">IFERROR(INDEX(Data!A:A, MATCH($E760, Data!$B:$B, 0)), "")</f>
        <v/>
      </c>
      <c r="E760" s="9" t="str">
        <f>LARGE(Data!$B$2:$B1000,A760 )</f>
        <v>#NUM!</v>
      </c>
      <c r="F760" s="9" t="str">
        <f t="array" ref="F760">IFERROR(INDEX(Data!C:C, MATCH($E760, Data!$B:$B, 0)), "")</f>
        <v/>
      </c>
      <c r="G760" s="9" t="str">
        <f t="array" ref="G760">IFERROR(INDEX(Data!D:D, MATCH($E760, Data!$B:$B, 0)), "")</f>
        <v/>
      </c>
      <c r="H760" s="9" t="str">
        <f t="array" ref="H760">IFERROR(INDEX(Data!E:E, MATCH($E760, Data!$B:$B, 0)), "")</f>
        <v/>
      </c>
      <c r="I760" s="9" t="str">
        <f t="shared" si="1"/>
        <v/>
      </c>
      <c r="J760" s="9" t="str">
        <f t="shared" si="2"/>
        <v>#REF!</v>
      </c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12">
        <v>759.0</v>
      </c>
      <c r="B761" s="13"/>
      <c r="C761" s="9" t="str">
        <f t="array" ref="C761">IFERROR(INDEX(Data!F:F, MATCH($E761, Data!$B:$B, 0)), "")</f>
        <v/>
      </c>
      <c r="D761" s="9" t="str">
        <f t="array" ref="D761">IFERROR(INDEX(Data!A:A, MATCH($E761, Data!$B:$B, 0)), "")</f>
        <v/>
      </c>
      <c r="E761" s="9" t="str">
        <f>LARGE(Data!$B$2:$B1000,A761 )</f>
        <v>#NUM!</v>
      </c>
      <c r="F761" s="9" t="str">
        <f t="array" ref="F761">IFERROR(INDEX(Data!C:C, MATCH($E761, Data!$B:$B, 0)), "")</f>
        <v/>
      </c>
      <c r="G761" s="9" t="str">
        <f t="array" ref="G761">IFERROR(INDEX(Data!D:D, MATCH($E761, Data!$B:$B, 0)), "")</f>
        <v/>
      </c>
      <c r="H761" s="9" t="str">
        <f t="array" ref="H761">IFERROR(INDEX(Data!E:E, MATCH($E761, Data!$B:$B, 0)), "")</f>
        <v/>
      </c>
      <c r="I761" s="9" t="str">
        <f t="shared" si="1"/>
        <v/>
      </c>
      <c r="J761" s="9" t="str">
        <f t="shared" si="2"/>
        <v>#REF!</v>
      </c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12">
        <v>760.0</v>
      </c>
      <c r="B762" s="13"/>
      <c r="C762" s="9" t="str">
        <f t="array" ref="C762">IFERROR(INDEX(Data!F:F, MATCH($E762, Data!$B:$B, 0)), "")</f>
        <v/>
      </c>
      <c r="D762" s="9" t="str">
        <f t="array" ref="D762">IFERROR(INDEX(Data!A:A, MATCH($E762, Data!$B:$B, 0)), "")</f>
        <v/>
      </c>
      <c r="E762" s="9" t="str">
        <f>LARGE(Data!$B$2:$B1000,A762 )</f>
        <v>#NUM!</v>
      </c>
      <c r="F762" s="9" t="str">
        <f t="array" ref="F762">IFERROR(INDEX(Data!C:C, MATCH($E762, Data!$B:$B, 0)), "")</f>
        <v/>
      </c>
      <c r="G762" s="9" t="str">
        <f t="array" ref="G762">IFERROR(INDEX(Data!D:D, MATCH($E762, Data!$B:$B, 0)), "")</f>
        <v/>
      </c>
      <c r="H762" s="9" t="str">
        <f t="array" ref="H762">IFERROR(INDEX(Data!E:E, MATCH($E762, Data!$B:$B, 0)), "")</f>
        <v/>
      </c>
      <c r="I762" s="9" t="str">
        <f t="shared" si="1"/>
        <v/>
      </c>
      <c r="J762" s="9" t="str">
        <f t="shared" si="2"/>
        <v>#REF!</v>
      </c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12">
        <v>761.0</v>
      </c>
      <c r="B763" s="13"/>
      <c r="C763" s="9" t="str">
        <f t="array" ref="C763">IFERROR(INDEX(Data!F:F, MATCH($E763, Data!$B:$B, 0)), "")</f>
        <v/>
      </c>
      <c r="D763" s="9" t="str">
        <f t="array" ref="D763">IFERROR(INDEX(Data!A:A, MATCH($E763, Data!$B:$B, 0)), "")</f>
        <v/>
      </c>
      <c r="E763" s="9" t="str">
        <f>LARGE(Data!$B$2:$B1000,A763 )</f>
        <v>#NUM!</v>
      </c>
      <c r="F763" s="9" t="str">
        <f t="array" ref="F763">IFERROR(INDEX(Data!C:C, MATCH($E763, Data!$B:$B, 0)), "")</f>
        <v/>
      </c>
      <c r="G763" s="9" t="str">
        <f t="array" ref="G763">IFERROR(INDEX(Data!D:D, MATCH($E763, Data!$B:$B, 0)), "")</f>
        <v/>
      </c>
      <c r="H763" s="9" t="str">
        <f t="array" ref="H763">IFERROR(INDEX(Data!E:E, MATCH($E763, Data!$B:$B, 0)), "")</f>
        <v/>
      </c>
      <c r="I763" s="9" t="str">
        <f t="shared" si="1"/>
        <v/>
      </c>
      <c r="J763" s="9" t="str">
        <f t="shared" si="2"/>
        <v>#REF!</v>
      </c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12">
        <v>762.0</v>
      </c>
      <c r="B764" s="13"/>
      <c r="C764" s="9" t="str">
        <f t="array" ref="C764">IFERROR(INDEX(Data!F:F, MATCH($E764, Data!$B:$B, 0)), "")</f>
        <v/>
      </c>
      <c r="D764" s="9" t="str">
        <f t="array" ref="D764">IFERROR(INDEX(Data!A:A, MATCH($E764, Data!$B:$B, 0)), "")</f>
        <v/>
      </c>
      <c r="E764" s="9" t="str">
        <f>LARGE(Data!$B$2:$B1000,A764 )</f>
        <v>#NUM!</v>
      </c>
      <c r="F764" s="9" t="str">
        <f t="array" ref="F764">IFERROR(INDEX(Data!C:C, MATCH($E764, Data!$B:$B, 0)), "")</f>
        <v/>
      </c>
      <c r="G764" s="9" t="str">
        <f t="array" ref="G764">IFERROR(INDEX(Data!D:D, MATCH($E764, Data!$B:$B, 0)), "")</f>
        <v/>
      </c>
      <c r="H764" s="9" t="str">
        <f t="array" ref="H764">IFERROR(INDEX(Data!E:E, MATCH($E764, Data!$B:$B, 0)), "")</f>
        <v/>
      </c>
      <c r="I764" s="9" t="str">
        <f t="shared" si="1"/>
        <v/>
      </c>
      <c r="J764" s="9" t="str">
        <f t="shared" si="2"/>
        <v>#REF!</v>
      </c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12">
        <v>763.0</v>
      </c>
      <c r="B765" s="13"/>
      <c r="C765" s="9" t="str">
        <f t="array" ref="C765">IFERROR(INDEX(Data!F:F, MATCH($E765, Data!$B:$B, 0)), "")</f>
        <v/>
      </c>
      <c r="D765" s="9" t="str">
        <f t="array" ref="D765">IFERROR(INDEX(Data!A:A, MATCH($E765, Data!$B:$B, 0)), "")</f>
        <v/>
      </c>
      <c r="E765" s="9" t="str">
        <f>LARGE(Data!$B$2:$B1000,A765 )</f>
        <v>#NUM!</v>
      </c>
      <c r="F765" s="9" t="str">
        <f t="array" ref="F765">IFERROR(INDEX(Data!C:C, MATCH($E765, Data!$B:$B, 0)), "")</f>
        <v/>
      </c>
      <c r="G765" s="9" t="str">
        <f t="array" ref="G765">IFERROR(INDEX(Data!D:D, MATCH($E765, Data!$B:$B, 0)), "")</f>
        <v/>
      </c>
      <c r="H765" s="9" t="str">
        <f t="array" ref="H765">IFERROR(INDEX(Data!E:E, MATCH($E765, Data!$B:$B, 0)), "")</f>
        <v/>
      </c>
      <c r="I765" s="9" t="str">
        <f t="shared" si="1"/>
        <v/>
      </c>
      <c r="J765" s="9" t="str">
        <f t="shared" si="2"/>
        <v>#REF!</v>
      </c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12">
        <v>764.0</v>
      </c>
      <c r="B766" s="13"/>
      <c r="C766" s="9" t="str">
        <f t="array" ref="C766">IFERROR(INDEX(Data!F:F, MATCH($E766, Data!$B:$B, 0)), "")</f>
        <v/>
      </c>
      <c r="D766" s="9" t="str">
        <f t="array" ref="D766">IFERROR(INDEX(Data!A:A, MATCH($E766, Data!$B:$B, 0)), "")</f>
        <v/>
      </c>
      <c r="E766" s="9" t="str">
        <f>LARGE(Data!$B$2:$B1000,A766 )</f>
        <v>#NUM!</v>
      </c>
      <c r="F766" s="9" t="str">
        <f t="array" ref="F766">IFERROR(INDEX(Data!C:C, MATCH($E766, Data!$B:$B, 0)), "")</f>
        <v/>
      </c>
      <c r="G766" s="9" t="str">
        <f t="array" ref="G766">IFERROR(INDEX(Data!D:D, MATCH($E766, Data!$B:$B, 0)), "")</f>
        <v/>
      </c>
      <c r="H766" s="9" t="str">
        <f t="array" ref="H766">IFERROR(INDEX(Data!E:E, MATCH($E766, Data!$B:$B, 0)), "")</f>
        <v/>
      </c>
      <c r="I766" s="9" t="str">
        <f t="shared" si="1"/>
        <v/>
      </c>
      <c r="J766" s="9" t="str">
        <f t="shared" si="2"/>
        <v>#REF!</v>
      </c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12">
        <v>765.0</v>
      </c>
      <c r="B767" s="13"/>
      <c r="C767" s="9" t="str">
        <f t="array" ref="C767">IFERROR(INDEX(Data!F:F, MATCH($E767, Data!$B:$B, 0)), "")</f>
        <v/>
      </c>
      <c r="D767" s="9" t="str">
        <f t="array" ref="D767">IFERROR(INDEX(Data!A:A, MATCH($E767, Data!$B:$B, 0)), "")</f>
        <v/>
      </c>
      <c r="E767" s="9" t="str">
        <f>LARGE(Data!$B$2:$B1000,A767 )</f>
        <v>#NUM!</v>
      </c>
      <c r="F767" s="9" t="str">
        <f t="array" ref="F767">IFERROR(INDEX(Data!C:C, MATCH($E767, Data!$B:$B, 0)), "")</f>
        <v/>
      </c>
      <c r="G767" s="9" t="str">
        <f t="array" ref="G767">IFERROR(INDEX(Data!D:D, MATCH($E767, Data!$B:$B, 0)), "")</f>
        <v/>
      </c>
      <c r="H767" s="9" t="str">
        <f t="array" ref="H767">IFERROR(INDEX(Data!E:E, MATCH($E767, Data!$B:$B, 0)), "")</f>
        <v/>
      </c>
      <c r="I767" s="9" t="str">
        <f t="shared" si="1"/>
        <v/>
      </c>
      <c r="J767" s="9" t="str">
        <f t="shared" si="2"/>
        <v>#REF!</v>
      </c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12">
        <v>766.0</v>
      </c>
      <c r="B768" s="13"/>
      <c r="C768" s="9" t="str">
        <f t="array" ref="C768">IFERROR(INDEX(Data!F:F, MATCH($E768, Data!$B:$B, 0)), "")</f>
        <v/>
      </c>
      <c r="D768" s="9" t="str">
        <f t="array" ref="D768">IFERROR(INDEX(Data!A:A, MATCH($E768, Data!$B:$B, 0)), "")</f>
        <v/>
      </c>
      <c r="E768" s="9" t="str">
        <f>LARGE(Data!$B$2:$B1000,A768 )</f>
        <v>#NUM!</v>
      </c>
      <c r="F768" s="9" t="str">
        <f t="array" ref="F768">IFERROR(INDEX(Data!C:C, MATCH($E768, Data!$B:$B, 0)), "")</f>
        <v/>
      </c>
      <c r="G768" s="9" t="str">
        <f t="array" ref="G768">IFERROR(INDEX(Data!D:D, MATCH($E768, Data!$B:$B, 0)), "")</f>
        <v/>
      </c>
      <c r="H768" s="9" t="str">
        <f t="array" ref="H768">IFERROR(INDEX(Data!E:E, MATCH($E768, Data!$B:$B, 0)), "")</f>
        <v/>
      </c>
      <c r="I768" s="9" t="str">
        <f t="shared" si="1"/>
        <v/>
      </c>
      <c r="J768" s="9" t="str">
        <f t="shared" si="2"/>
        <v>#REF!</v>
      </c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12">
        <v>767.0</v>
      </c>
      <c r="B769" s="13"/>
      <c r="C769" s="9" t="str">
        <f t="array" ref="C769">IFERROR(INDEX(Data!F:F, MATCH($E769, Data!$B:$B, 0)), "")</f>
        <v/>
      </c>
      <c r="D769" s="9" t="str">
        <f t="array" ref="D769">IFERROR(INDEX(Data!A:A, MATCH($E769, Data!$B:$B, 0)), "")</f>
        <v/>
      </c>
      <c r="E769" s="9" t="str">
        <f>LARGE(Data!$B$2:$B1000,A769 )</f>
        <v>#NUM!</v>
      </c>
      <c r="F769" s="9" t="str">
        <f t="array" ref="F769">IFERROR(INDEX(Data!C:C, MATCH($E769, Data!$B:$B, 0)), "")</f>
        <v/>
      </c>
      <c r="G769" s="9" t="str">
        <f t="array" ref="G769">IFERROR(INDEX(Data!D:D, MATCH($E769, Data!$B:$B, 0)), "")</f>
        <v/>
      </c>
      <c r="H769" s="9" t="str">
        <f t="array" ref="H769">IFERROR(INDEX(Data!E:E, MATCH($E769, Data!$B:$B, 0)), "")</f>
        <v/>
      </c>
      <c r="I769" s="9" t="str">
        <f t="shared" si="1"/>
        <v/>
      </c>
      <c r="J769" s="9" t="str">
        <f t="shared" si="2"/>
        <v>#REF!</v>
      </c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12">
        <v>768.0</v>
      </c>
      <c r="B770" s="13"/>
      <c r="C770" s="9" t="str">
        <f t="array" ref="C770">IFERROR(INDEX(Data!F:F, MATCH($E770, Data!$B:$B, 0)), "")</f>
        <v/>
      </c>
      <c r="D770" s="9" t="str">
        <f t="array" ref="D770">IFERROR(INDEX(Data!A:A, MATCH($E770, Data!$B:$B, 0)), "")</f>
        <v/>
      </c>
      <c r="E770" s="9" t="str">
        <f>LARGE(Data!$B$2:$B1000,A770 )</f>
        <v>#NUM!</v>
      </c>
      <c r="F770" s="9" t="str">
        <f t="array" ref="F770">IFERROR(INDEX(Data!C:C, MATCH($E770, Data!$B:$B, 0)), "")</f>
        <v/>
      </c>
      <c r="G770" s="9" t="str">
        <f t="array" ref="G770">IFERROR(INDEX(Data!D:D, MATCH($E770, Data!$B:$B, 0)), "")</f>
        <v/>
      </c>
      <c r="H770" s="9" t="str">
        <f t="array" ref="H770">IFERROR(INDEX(Data!E:E, MATCH($E770, Data!$B:$B, 0)), "")</f>
        <v/>
      </c>
      <c r="I770" s="9" t="str">
        <f t="shared" si="1"/>
        <v/>
      </c>
      <c r="J770" s="9" t="str">
        <f t="shared" si="2"/>
        <v>#REF!</v>
      </c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12">
        <v>769.0</v>
      </c>
      <c r="B771" s="13"/>
      <c r="C771" s="9" t="str">
        <f t="array" ref="C771">IFERROR(INDEX(Data!F:F, MATCH($E771, Data!$B:$B, 0)), "")</f>
        <v/>
      </c>
      <c r="D771" s="9" t="str">
        <f t="array" ref="D771">IFERROR(INDEX(Data!A:A, MATCH($E771, Data!$B:$B, 0)), "")</f>
        <v/>
      </c>
      <c r="E771" s="9" t="str">
        <f>LARGE(Data!$B$2:$B1000,A771 )</f>
        <v>#NUM!</v>
      </c>
      <c r="F771" s="9" t="str">
        <f t="array" ref="F771">IFERROR(INDEX(Data!C:C, MATCH($E771, Data!$B:$B, 0)), "")</f>
        <v/>
      </c>
      <c r="G771" s="9" t="str">
        <f t="array" ref="G771">IFERROR(INDEX(Data!D:D, MATCH($E771, Data!$B:$B, 0)), "")</f>
        <v/>
      </c>
      <c r="H771" s="9" t="str">
        <f t="array" ref="H771">IFERROR(INDEX(Data!E:E, MATCH($E771, Data!$B:$B, 0)), "")</f>
        <v/>
      </c>
      <c r="I771" s="9" t="str">
        <f t="shared" si="1"/>
        <v/>
      </c>
      <c r="J771" s="9" t="str">
        <f t="shared" si="2"/>
        <v>#REF!</v>
      </c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12">
        <v>770.0</v>
      </c>
      <c r="B772" s="13"/>
      <c r="C772" s="9" t="str">
        <f t="array" ref="C772">IFERROR(INDEX(Data!F:F, MATCH($E772, Data!$B:$B, 0)), "")</f>
        <v/>
      </c>
      <c r="D772" s="9" t="str">
        <f t="array" ref="D772">IFERROR(INDEX(Data!A:A, MATCH($E772, Data!$B:$B, 0)), "")</f>
        <v/>
      </c>
      <c r="E772" s="9" t="str">
        <f>LARGE(Data!$B$2:$B1000,A772 )</f>
        <v>#NUM!</v>
      </c>
      <c r="F772" s="9" t="str">
        <f t="array" ref="F772">IFERROR(INDEX(Data!C:C, MATCH($E772, Data!$B:$B, 0)), "")</f>
        <v/>
      </c>
      <c r="G772" s="9" t="str">
        <f t="array" ref="G772">IFERROR(INDEX(Data!D:D, MATCH($E772, Data!$B:$B, 0)), "")</f>
        <v/>
      </c>
      <c r="H772" s="9" t="str">
        <f t="array" ref="H772">IFERROR(INDEX(Data!E:E, MATCH($E772, Data!$B:$B, 0)), "")</f>
        <v/>
      </c>
      <c r="I772" s="9" t="str">
        <f t="shared" si="1"/>
        <v/>
      </c>
      <c r="J772" s="9" t="str">
        <f t="shared" si="2"/>
        <v>#REF!</v>
      </c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12">
        <v>771.0</v>
      </c>
      <c r="B773" s="13"/>
      <c r="C773" s="9" t="str">
        <f t="array" ref="C773">IFERROR(INDEX(Data!F:F, MATCH($E773, Data!$B:$B, 0)), "")</f>
        <v/>
      </c>
      <c r="D773" s="9" t="str">
        <f t="array" ref="D773">IFERROR(INDEX(Data!A:A, MATCH($E773, Data!$B:$B, 0)), "")</f>
        <v/>
      </c>
      <c r="E773" s="9" t="str">
        <f>LARGE(Data!$B$2:$B1000,A773 )</f>
        <v>#NUM!</v>
      </c>
      <c r="F773" s="9" t="str">
        <f t="array" ref="F773">IFERROR(INDEX(Data!C:C, MATCH($E773, Data!$B:$B, 0)), "")</f>
        <v/>
      </c>
      <c r="G773" s="9" t="str">
        <f t="array" ref="G773">IFERROR(INDEX(Data!D:D, MATCH($E773, Data!$B:$B, 0)), "")</f>
        <v/>
      </c>
      <c r="H773" s="9" t="str">
        <f t="array" ref="H773">IFERROR(INDEX(Data!E:E, MATCH($E773, Data!$B:$B, 0)), "")</f>
        <v/>
      </c>
      <c r="I773" s="9" t="str">
        <f t="shared" si="1"/>
        <v/>
      </c>
      <c r="J773" s="9" t="str">
        <f t="shared" si="2"/>
        <v>#REF!</v>
      </c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12">
        <v>772.0</v>
      </c>
      <c r="B774" s="13"/>
      <c r="C774" s="9" t="str">
        <f t="array" ref="C774">IFERROR(INDEX(Data!F:F, MATCH($E774, Data!$B:$B, 0)), "")</f>
        <v/>
      </c>
      <c r="D774" s="9" t="str">
        <f t="array" ref="D774">IFERROR(INDEX(Data!A:A, MATCH($E774, Data!$B:$B, 0)), "")</f>
        <v/>
      </c>
      <c r="E774" s="9" t="str">
        <f>LARGE(Data!$B$2:$B1000,A774 )</f>
        <v>#NUM!</v>
      </c>
      <c r="F774" s="9" t="str">
        <f t="array" ref="F774">IFERROR(INDEX(Data!C:C, MATCH($E774, Data!$B:$B, 0)), "")</f>
        <v/>
      </c>
      <c r="G774" s="9" t="str">
        <f t="array" ref="G774">IFERROR(INDEX(Data!D:D, MATCH($E774, Data!$B:$B, 0)), "")</f>
        <v/>
      </c>
      <c r="H774" s="9" t="str">
        <f t="array" ref="H774">IFERROR(INDEX(Data!E:E, MATCH($E774, Data!$B:$B, 0)), "")</f>
        <v/>
      </c>
      <c r="I774" s="9" t="str">
        <f t="shared" si="1"/>
        <v/>
      </c>
      <c r="J774" s="9" t="str">
        <f t="shared" si="2"/>
        <v>#REF!</v>
      </c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12">
        <v>773.0</v>
      </c>
      <c r="B775" s="13"/>
      <c r="C775" s="9" t="str">
        <f t="array" ref="C775">IFERROR(INDEX(Data!F:F, MATCH($E775, Data!$B:$B, 0)), "")</f>
        <v/>
      </c>
      <c r="D775" s="9" t="str">
        <f t="array" ref="D775">IFERROR(INDEX(Data!A:A, MATCH($E775, Data!$B:$B, 0)), "")</f>
        <v/>
      </c>
      <c r="E775" s="9" t="str">
        <f>LARGE(Data!$B$2:$B1000,A775 )</f>
        <v>#NUM!</v>
      </c>
      <c r="F775" s="9" t="str">
        <f t="array" ref="F775">IFERROR(INDEX(Data!C:C, MATCH($E775, Data!$B:$B, 0)), "")</f>
        <v/>
      </c>
      <c r="G775" s="9" t="str">
        <f t="array" ref="G775">IFERROR(INDEX(Data!D:D, MATCH($E775, Data!$B:$B, 0)), "")</f>
        <v/>
      </c>
      <c r="H775" s="9" t="str">
        <f t="array" ref="H775">IFERROR(INDEX(Data!E:E, MATCH($E775, Data!$B:$B, 0)), "")</f>
        <v/>
      </c>
      <c r="I775" s="9" t="str">
        <f t="shared" si="1"/>
        <v/>
      </c>
      <c r="J775" s="9" t="str">
        <f t="shared" si="2"/>
        <v>#REF!</v>
      </c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12">
        <v>774.0</v>
      </c>
      <c r="B776" s="13"/>
      <c r="C776" s="9" t="str">
        <f t="array" ref="C776">IFERROR(INDEX(Data!F:F, MATCH($E776, Data!$B:$B, 0)), "")</f>
        <v/>
      </c>
      <c r="D776" s="9" t="str">
        <f t="array" ref="D776">IFERROR(INDEX(Data!A:A, MATCH($E776, Data!$B:$B, 0)), "")</f>
        <v/>
      </c>
      <c r="E776" s="9" t="str">
        <f>LARGE(Data!$B$2:$B1000,A776 )</f>
        <v>#NUM!</v>
      </c>
      <c r="F776" s="9" t="str">
        <f t="array" ref="F776">IFERROR(INDEX(Data!C:C, MATCH($E776, Data!$B:$B, 0)), "")</f>
        <v/>
      </c>
      <c r="G776" s="9" t="str">
        <f t="array" ref="G776">IFERROR(INDEX(Data!D:D, MATCH($E776, Data!$B:$B, 0)), "")</f>
        <v/>
      </c>
      <c r="H776" s="9" t="str">
        <f t="array" ref="H776">IFERROR(INDEX(Data!E:E, MATCH($E776, Data!$B:$B, 0)), "")</f>
        <v/>
      </c>
      <c r="I776" s="9" t="str">
        <f t="shared" si="1"/>
        <v/>
      </c>
      <c r="J776" s="9" t="str">
        <f t="shared" si="2"/>
        <v>#REF!</v>
      </c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12">
        <v>775.0</v>
      </c>
      <c r="B777" s="13"/>
      <c r="C777" s="9" t="str">
        <f t="array" ref="C777">IFERROR(INDEX(Data!F:F, MATCH($E777, Data!$B:$B, 0)), "")</f>
        <v/>
      </c>
      <c r="D777" s="9" t="str">
        <f t="array" ref="D777">IFERROR(INDEX(Data!A:A, MATCH($E777, Data!$B:$B, 0)), "")</f>
        <v/>
      </c>
      <c r="E777" s="9" t="str">
        <f>LARGE(Data!$B$2:$B1000,A777 )</f>
        <v>#NUM!</v>
      </c>
      <c r="F777" s="9" t="str">
        <f t="array" ref="F777">IFERROR(INDEX(Data!C:C, MATCH($E777, Data!$B:$B, 0)), "")</f>
        <v/>
      </c>
      <c r="G777" s="9" t="str">
        <f t="array" ref="G777">IFERROR(INDEX(Data!D:D, MATCH($E777, Data!$B:$B, 0)), "")</f>
        <v/>
      </c>
      <c r="H777" s="9" t="str">
        <f t="array" ref="H777">IFERROR(INDEX(Data!E:E, MATCH($E777, Data!$B:$B, 0)), "")</f>
        <v/>
      </c>
      <c r="I777" s="9" t="str">
        <f t="shared" si="1"/>
        <v/>
      </c>
      <c r="J777" s="9" t="str">
        <f t="shared" si="2"/>
        <v>#REF!</v>
      </c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12">
        <v>776.0</v>
      </c>
      <c r="B778" s="13"/>
      <c r="C778" s="9" t="str">
        <f t="array" ref="C778">IFERROR(INDEX(Data!F:F, MATCH($E778, Data!$B:$B, 0)), "")</f>
        <v/>
      </c>
      <c r="D778" s="9" t="str">
        <f t="array" ref="D778">IFERROR(INDEX(Data!A:A, MATCH($E778, Data!$B:$B, 0)), "")</f>
        <v/>
      </c>
      <c r="E778" s="9" t="str">
        <f>LARGE(Data!$B$2:$B1000,A778 )</f>
        <v>#NUM!</v>
      </c>
      <c r="F778" s="9" t="str">
        <f t="array" ref="F778">IFERROR(INDEX(Data!C:C, MATCH($E778, Data!$B:$B, 0)), "")</f>
        <v/>
      </c>
      <c r="G778" s="9" t="str">
        <f t="array" ref="G778">IFERROR(INDEX(Data!D:D, MATCH($E778, Data!$B:$B, 0)), "")</f>
        <v/>
      </c>
      <c r="H778" s="9" t="str">
        <f t="array" ref="H778">IFERROR(INDEX(Data!E:E, MATCH($E778, Data!$B:$B, 0)), "")</f>
        <v/>
      </c>
      <c r="I778" s="9" t="str">
        <f t="shared" si="1"/>
        <v/>
      </c>
      <c r="J778" s="9" t="str">
        <f t="shared" si="2"/>
        <v>#REF!</v>
      </c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12">
        <v>777.0</v>
      </c>
      <c r="B779" s="13"/>
      <c r="C779" s="9" t="str">
        <f t="array" ref="C779">IFERROR(INDEX(Data!F:F, MATCH($E779, Data!$B:$B, 0)), "")</f>
        <v/>
      </c>
      <c r="D779" s="9" t="str">
        <f t="array" ref="D779">IFERROR(INDEX(Data!A:A, MATCH($E779, Data!$B:$B, 0)), "")</f>
        <v/>
      </c>
      <c r="E779" s="9" t="str">
        <f>LARGE(Data!$B$2:$B1000,A779 )</f>
        <v>#NUM!</v>
      </c>
      <c r="F779" s="9" t="str">
        <f t="array" ref="F779">IFERROR(INDEX(Data!C:C, MATCH($E779, Data!$B:$B, 0)), "")</f>
        <v/>
      </c>
      <c r="G779" s="9" t="str">
        <f t="array" ref="G779">IFERROR(INDEX(Data!D:D, MATCH($E779, Data!$B:$B, 0)), "")</f>
        <v/>
      </c>
      <c r="H779" s="9" t="str">
        <f t="array" ref="H779">IFERROR(INDEX(Data!E:E, MATCH($E779, Data!$B:$B, 0)), "")</f>
        <v/>
      </c>
      <c r="I779" s="9" t="str">
        <f t="shared" si="1"/>
        <v/>
      </c>
      <c r="J779" s="9" t="str">
        <f t="shared" si="2"/>
        <v>#REF!</v>
      </c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12">
        <v>778.0</v>
      </c>
      <c r="B780" s="13"/>
      <c r="C780" s="9" t="str">
        <f t="array" ref="C780">IFERROR(INDEX(Data!F:F, MATCH($E780, Data!$B:$B, 0)), "")</f>
        <v/>
      </c>
      <c r="D780" s="9" t="str">
        <f t="array" ref="D780">IFERROR(INDEX(Data!A:A, MATCH($E780, Data!$B:$B, 0)), "")</f>
        <v/>
      </c>
      <c r="E780" s="9" t="str">
        <f>LARGE(Data!$B$2:$B1000,A780 )</f>
        <v>#NUM!</v>
      </c>
      <c r="F780" s="9" t="str">
        <f t="array" ref="F780">IFERROR(INDEX(Data!C:C, MATCH($E780, Data!$B:$B, 0)), "")</f>
        <v/>
      </c>
      <c r="G780" s="9" t="str">
        <f t="array" ref="G780">IFERROR(INDEX(Data!D:D, MATCH($E780, Data!$B:$B, 0)), "")</f>
        <v/>
      </c>
      <c r="H780" s="9" t="str">
        <f t="array" ref="H780">IFERROR(INDEX(Data!E:E, MATCH($E780, Data!$B:$B, 0)), "")</f>
        <v/>
      </c>
      <c r="I780" s="9" t="str">
        <f t="shared" si="1"/>
        <v/>
      </c>
      <c r="J780" s="9" t="str">
        <f t="shared" si="2"/>
        <v>#REF!</v>
      </c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12">
        <v>779.0</v>
      </c>
      <c r="B781" s="13"/>
      <c r="C781" s="9" t="str">
        <f t="array" ref="C781">IFERROR(INDEX(Data!F:F, MATCH($E781, Data!$B:$B, 0)), "")</f>
        <v/>
      </c>
      <c r="D781" s="9" t="str">
        <f t="array" ref="D781">IFERROR(INDEX(Data!A:A, MATCH($E781, Data!$B:$B, 0)), "")</f>
        <v/>
      </c>
      <c r="E781" s="9" t="str">
        <f>LARGE(Data!$B$2:$B1000,A781 )</f>
        <v>#NUM!</v>
      </c>
      <c r="F781" s="9" t="str">
        <f t="array" ref="F781">IFERROR(INDEX(Data!C:C, MATCH($E781, Data!$B:$B, 0)), "")</f>
        <v/>
      </c>
      <c r="G781" s="9" t="str">
        <f t="array" ref="G781">IFERROR(INDEX(Data!D:D, MATCH($E781, Data!$B:$B, 0)), "")</f>
        <v/>
      </c>
      <c r="H781" s="9" t="str">
        <f t="array" ref="H781">IFERROR(INDEX(Data!E:E, MATCH($E781, Data!$B:$B, 0)), "")</f>
        <v/>
      </c>
      <c r="I781" s="9" t="str">
        <f t="shared" si="1"/>
        <v/>
      </c>
      <c r="J781" s="9" t="str">
        <f t="shared" si="2"/>
        <v>#REF!</v>
      </c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12">
        <v>780.0</v>
      </c>
      <c r="B782" s="13"/>
      <c r="C782" s="9" t="str">
        <f t="array" ref="C782">IFERROR(INDEX(Data!F:F, MATCH($E782, Data!$B:$B, 0)), "")</f>
        <v/>
      </c>
      <c r="D782" s="9" t="str">
        <f t="array" ref="D782">IFERROR(INDEX(Data!A:A, MATCH($E782, Data!$B:$B, 0)), "")</f>
        <v/>
      </c>
      <c r="E782" s="9" t="str">
        <f>LARGE(Data!$B$2:$B1000,A782 )</f>
        <v>#NUM!</v>
      </c>
      <c r="F782" s="9" t="str">
        <f t="array" ref="F782">IFERROR(INDEX(Data!C:C, MATCH($E782, Data!$B:$B, 0)), "")</f>
        <v/>
      </c>
      <c r="G782" s="9" t="str">
        <f t="array" ref="G782">IFERROR(INDEX(Data!D:D, MATCH($E782, Data!$B:$B, 0)), "")</f>
        <v/>
      </c>
      <c r="H782" s="9" t="str">
        <f t="array" ref="H782">IFERROR(INDEX(Data!E:E, MATCH($E782, Data!$B:$B, 0)), "")</f>
        <v/>
      </c>
      <c r="I782" s="9" t="str">
        <f t="shared" si="1"/>
        <v/>
      </c>
      <c r="J782" s="9" t="str">
        <f t="shared" si="2"/>
        <v>#REF!</v>
      </c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12">
        <v>781.0</v>
      </c>
      <c r="B783" s="13"/>
      <c r="C783" s="9" t="str">
        <f t="array" ref="C783">IFERROR(INDEX(Data!F:F, MATCH($E783, Data!$B:$B, 0)), "")</f>
        <v/>
      </c>
      <c r="D783" s="9" t="str">
        <f t="array" ref="D783">IFERROR(INDEX(Data!A:A, MATCH($E783, Data!$B:$B, 0)), "")</f>
        <v/>
      </c>
      <c r="E783" s="9" t="str">
        <f>LARGE(Data!$B$2:$B1000,A783 )</f>
        <v>#NUM!</v>
      </c>
      <c r="F783" s="9" t="str">
        <f t="array" ref="F783">IFERROR(INDEX(Data!C:C, MATCH($E783, Data!$B:$B, 0)), "")</f>
        <v/>
      </c>
      <c r="G783" s="9" t="str">
        <f t="array" ref="G783">IFERROR(INDEX(Data!D:D, MATCH($E783, Data!$B:$B, 0)), "")</f>
        <v/>
      </c>
      <c r="H783" s="9" t="str">
        <f t="array" ref="H783">IFERROR(INDEX(Data!E:E, MATCH($E783, Data!$B:$B, 0)), "")</f>
        <v/>
      </c>
      <c r="I783" s="9" t="str">
        <f t="shared" si="1"/>
        <v/>
      </c>
      <c r="J783" s="9" t="str">
        <f t="shared" si="2"/>
        <v>#REF!</v>
      </c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12">
        <v>782.0</v>
      </c>
      <c r="B784" s="13"/>
      <c r="C784" s="9" t="str">
        <f t="array" ref="C784">IFERROR(INDEX(Data!F:F, MATCH($E784, Data!$B:$B, 0)), "")</f>
        <v/>
      </c>
      <c r="D784" s="9" t="str">
        <f t="array" ref="D784">IFERROR(INDEX(Data!A:A, MATCH($E784, Data!$B:$B, 0)), "")</f>
        <v/>
      </c>
      <c r="E784" s="9" t="str">
        <f>LARGE(Data!$B$2:$B1000,A784 )</f>
        <v>#NUM!</v>
      </c>
      <c r="F784" s="9" t="str">
        <f t="array" ref="F784">IFERROR(INDEX(Data!C:C, MATCH($E784, Data!$B:$B, 0)), "")</f>
        <v/>
      </c>
      <c r="G784" s="9" t="str">
        <f t="array" ref="G784">IFERROR(INDEX(Data!D:D, MATCH($E784, Data!$B:$B, 0)), "")</f>
        <v/>
      </c>
      <c r="H784" s="9" t="str">
        <f t="array" ref="H784">IFERROR(INDEX(Data!E:E, MATCH($E784, Data!$B:$B, 0)), "")</f>
        <v/>
      </c>
      <c r="I784" s="9" t="str">
        <f t="shared" si="1"/>
        <v/>
      </c>
      <c r="J784" s="9" t="str">
        <f t="shared" si="2"/>
        <v>#REF!</v>
      </c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12">
        <v>783.0</v>
      </c>
      <c r="B785" s="13"/>
      <c r="C785" s="9" t="str">
        <f t="array" ref="C785">IFERROR(INDEX(Data!F:F, MATCH($E785, Data!$B:$B, 0)), "")</f>
        <v/>
      </c>
      <c r="D785" s="9" t="str">
        <f t="array" ref="D785">IFERROR(INDEX(Data!A:A, MATCH($E785, Data!$B:$B, 0)), "")</f>
        <v/>
      </c>
      <c r="E785" s="9" t="str">
        <f>LARGE(Data!$B$2:$B1000,A785 )</f>
        <v>#NUM!</v>
      </c>
      <c r="F785" s="9" t="str">
        <f t="array" ref="F785">IFERROR(INDEX(Data!C:C, MATCH($E785, Data!$B:$B, 0)), "")</f>
        <v/>
      </c>
      <c r="G785" s="9" t="str">
        <f t="array" ref="G785">IFERROR(INDEX(Data!D:D, MATCH($E785, Data!$B:$B, 0)), "")</f>
        <v/>
      </c>
      <c r="H785" s="9" t="str">
        <f t="array" ref="H785">IFERROR(INDEX(Data!E:E, MATCH($E785, Data!$B:$B, 0)), "")</f>
        <v/>
      </c>
      <c r="I785" s="9" t="str">
        <f t="shared" si="1"/>
        <v/>
      </c>
      <c r="J785" s="9" t="str">
        <f t="shared" si="2"/>
        <v>#REF!</v>
      </c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12">
        <v>784.0</v>
      </c>
      <c r="B786" s="13"/>
      <c r="C786" s="9" t="str">
        <f t="array" ref="C786">IFERROR(INDEX(Data!F:F, MATCH($E786, Data!$B:$B, 0)), "")</f>
        <v/>
      </c>
      <c r="D786" s="9" t="str">
        <f t="array" ref="D786">IFERROR(INDEX(Data!A:A, MATCH($E786, Data!$B:$B, 0)), "")</f>
        <v/>
      </c>
      <c r="E786" s="9" t="str">
        <f>LARGE(Data!$B$2:$B1000,A786 )</f>
        <v>#NUM!</v>
      </c>
      <c r="F786" s="9" t="str">
        <f t="array" ref="F786">IFERROR(INDEX(Data!C:C, MATCH($E786, Data!$B:$B, 0)), "")</f>
        <v/>
      </c>
      <c r="G786" s="9" t="str">
        <f t="array" ref="G786">IFERROR(INDEX(Data!D:D, MATCH($E786, Data!$B:$B, 0)), "")</f>
        <v/>
      </c>
      <c r="H786" s="9" t="str">
        <f t="array" ref="H786">IFERROR(INDEX(Data!E:E, MATCH($E786, Data!$B:$B, 0)), "")</f>
        <v/>
      </c>
      <c r="I786" s="9" t="str">
        <f t="shared" si="1"/>
        <v/>
      </c>
      <c r="J786" s="9" t="str">
        <f t="shared" si="2"/>
        <v>#REF!</v>
      </c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12">
        <v>785.0</v>
      </c>
      <c r="B787" s="13"/>
      <c r="C787" s="9" t="str">
        <f t="array" ref="C787">IFERROR(INDEX(Data!F:F, MATCH($E787, Data!$B:$B, 0)), "")</f>
        <v/>
      </c>
      <c r="D787" s="9" t="str">
        <f t="array" ref="D787">IFERROR(INDEX(Data!A:A, MATCH($E787, Data!$B:$B, 0)), "")</f>
        <v/>
      </c>
      <c r="E787" s="9" t="str">
        <f>LARGE(Data!$B$2:$B1000,A787 )</f>
        <v>#NUM!</v>
      </c>
      <c r="F787" s="9" t="str">
        <f t="array" ref="F787">IFERROR(INDEX(Data!C:C, MATCH($E787, Data!$B:$B, 0)), "")</f>
        <v/>
      </c>
      <c r="G787" s="9" t="str">
        <f t="array" ref="G787">IFERROR(INDEX(Data!D:D, MATCH($E787, Data!$B:$B, 0)), "")</f>
        <v/>
      </c>
      <c r="H787" s="9" t="str">
        <f t="array" ref="H787">IFERROR(INDEX(Data!E:E, MATCH($E787, Data!$B:$B, 0)), "")</f>
        <v/>
      </c>
      <c r="I787" s="9" t="str">
        <f t="shared" si="1"/>
        <v/>
      </c>
      <c r="J787" s="9" t="str">
        <f t="shared" si="2"/>
        <v>#REF!</v>
      </c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12">
        <v>786.0</v>
      </c>
      <c r="B788" s="13"/>
      <c r="C788" s="9" t="str">
        <f t="array" ref="C788">IFERROR(INDEX(Data!F:F, MATCH($E788, Data!$B:$B, 0)), "")</f>
        <v/>
      </c>
      <c r="D788" s="9" t="str">
        <f t="array" ref="D788">IFERROR(INDEX(Data!A:A, MATCH($E788, Data!$B:$B, 0)), "")</f>
        <v/>
      </c>
      <c r="E788" s="9" t="str">
        <f>LARGE(Data!$B$2:$B1000,A788 )</f>
        <v>#NUM!</v>
      </c>
      <c r="F788" s="9" t="str">
        <f t="array" ref="F788">IFERROR(INDEX(Data!C:C, MATCH($E788, Data!$B:$B, 0)), "")</f>
        <v/>
      </c>
      <c r="G788" s="9" t="str">
        <f t="array" ref="G788">IFERROR(INDEX(Data!D:D, MATCH($E788, Data!$B:$B, 0)), "")</f>
        <v/>
      </c>
      <c r="H788" s="9" t="str">
        <f t="array" ref="H788">IFERROR(INDEX(Data!E:E, MATCH($E788, Data!$B:$B, 0)), "")</f>
        <v/>
      </c>
      <c r="I788" s="9" t="str">
        <f t="shared" si="1"/>
        <v/>
      </c>
      <c r="J788" s="9" t="str">
        <f t="shared" si="2"/>
        <v>#REF!</v>
      </c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12">
        <v>787.0</v>
      </c>
      <c r="B789" s="13"/>
      <c r="C789" s="9" t="str">
        <f t="array" ref="C789">IFERROR(INDEX(Data!F:F, MATCH($E789, Data!$B:$B, 0)), "")</f>
        <v/>
      </c>
      <c r="D789" s="9" t="str">
        <f t="array" ref="D789">IFERROR(INDEX(Data!A:A, MATCH($E789, Data!$B:$B, 0)), "")</f>
        <v/>
      </c>
      <c r="E789" s="9" t="str">
        <f>LARGE(Data!$B$2:$B1000,A789 )</f>
        <v>#NUM!</v>
      </c>
      <c r="F789" s="9" t="str">
        <f t="array" ref="F789">IFERROR(INDEX(Data!C:C, MATCH($E789, Data!$B:$B, 0)), "")</f>
        <v/>
      </c>
      <c r="G789" s="9" t="str">
        <f t="array" ref="G789">IFERROR(INDEX(Data!D:D, MATCH($E789, Data!$B:$B, 0)), "")</f>
        <v/>
      </c>
      <c r="H789" s="9" t="str">
        <f t="array" ref="H789">IFERROR(INDEX(Data!E:E, MATCH($E789, Data!$B:$B, 0)), "")</f>
        <v/>
      </c>
      <c r="I789" s="9" t="str">
        <f t="shared" si="1"/>
        <v/>
      </c>
      <c r="J789" s="9" t="str">
        <f t="shared" si="2"/>
        <v>#REF!</v>
      </c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12">
        <v>788.0</v>
      </c>
      <c r="B790" s="13"/>
      <c r="C790" s="9" t="str">
        <f t="array" ref="C790">IFERROR(INDEX(Data!F:F, MATCH($E790, Data!$B:$B, 0)), "")</f>
        <v/>
      </c>
      <c r="D790" s="9" t="str">
        <f t="array" ref="D790">IFERROR(INDEX(Data!A:A, MATCH($E790, Data!$B:$B, 0)), "")</f>
        <v/>
      </c>
      <c r="E790" s="9" t="str">
        <f>LARGE(Data!$B$2:$B1000,A790 )</f>
        <v>#NUM!</v>
      </c>
      <c r="F790" s="9" t="str">
        <f t="array" ref="F790">IFERROR(INDEX(Data!C:C, MATCH($E790, Data!$B:$B, 0)), "")</f>
        <v/>
      </c>
      <c r="G790" s="9" t="str">
        <f t="array" ref="G790">IFERROR(INDEX(Data!D:D, MATCH($E790, Data!$B:$B, 0)), "")</f>
        <v/>
      </c>
      <c r="H790" s="9" t="str">
        <f t="array" ref="H790">IFERROR(INDEX(Data!E:E, MATCH($E790, Data!$B:$B, 0)), "")</f>
        <v/>
      </c>
      <c r="I790" s="9" t="str">
        <f t="shared" si="1"/>
        <v/>
      </c>
      <c r="J790" s="9" t="str">
        <f t="shared" si="2"/>
        <v>#REF!</v>
      </c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12">
        <v>789.0</v>
      </c>
      <c r="B791" s="13"/>
      <c r="C791" s="9" t="str">
        <f t="array" ref="C791">IFERROR(INDEX(Data!F:F, MATCH($E791, Data!$B:$B, 0)), "")</f>
        <v/>
      </c>
      <c r="D791" s="9" t="str">
        <f t="array" ref="D791">IFERROR(INDEX(Data!A:A, MATCH($E791, Data!$B:$B, 0)), "")</f>
        <v/>
      </c>
      <c r="E791" s="9" t="str">
        <f>LARGE(Data!$B$2:$B1000,A791 )</f>
        <v>#NUM!</v>
      </c>
      <c r="F791" s="9" t="str">
        <f t="array" ref="F791">IFERROR(INDEX(Data!C:C, MATCH($E791, Data!$B:$B, 0)), "")</f>
        <v/>
      </c>
      <c r="G791" s="9" t="str">
        <f t="array" ref="G791">IFERROR(INDEX(Data!D:D, MATCH($E791, Data!$B:$B, 0)), "")</f>
        <v/>
      </c>
      <c r="H791" s="9" t="str">
        <f t="array" ref="H791">IFERROR(INDEX(Data!E:E, MATCH($E791, Data!$B:$B, 0)), "")</f>
        <v/>
      </c>
      <c r="I791" s="9" t="str">
        <f t="shared" si="1"/>
        <v/>
      </c>
      <c r="J791" s="9" t="str">
        <f t="shared" si="2"/>
        <v>#REF!</v>
      </c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12">
        <v>790.0</v>
      </c>
      <c r="B792" s="13"/>
      <c r="C792" s="9" t="str">
        <f t="array" ref="C792">IFERROR(INDEX(Data!F:F, MATCH($E792, Data!$B:$B, 0)), "")</f>
        <v/>
      </c>
      <c r="D792" s="9" t="str">
        <f t="array" ref="D792">IFERROR(INDEX(Data!A:A, MATCH($E792, Data!$B:$B, 0)), "")</f>
        <v/>
      </c>
      <c r="E792" s="9" t="str">
        <f>LARGE(Data!$B$2:$B1000,A792 )</f>
        <v>#NUM!</v>
      </c>
      <c r="F792" s="9" t="str">
        <f t="array" ref="F792">IFERROR(INDEX(Data!C:C, MATCH($E792, Data!$B:$B, 0)), "")</f>
        <v/>
      </c>
      <c r="G792" s="9" t="str">
        <f t="array" ref="G792">IFERROR(INDEX(Data!D:D, MATCH($E792, Data!$B:$B, 0)), "")</f>
        <v/>
      </c>
      <c r="H792" s="9" t="str">
        <f t="array" ref="H792">IFERROR(INDEX(Data!E:E, MATCH($E792, Data!$B:$B, 0)), "")</f>
        <v/>
      </c>
      <c r="I792" s="9" t="str">
        <f t="shared" si="1"/>
        <v/>
      </c>
      <c r="J792" s="9" t="str">
        <f t="shared" si="2"/>
        <v>#REF!</v>
      </c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12">
        <v>791.0</v>
      </c>
      <c r="B793" s="13"/>
      <c r="C793" s="9" t="str">
        <f t="array" ref="C793">IFERROR(INDEX(Data!F:F, MATCH($E793, Data!$B:$B, 0)), "")</f>
        <v/>
      </c>
      <c r="D793" s="9" t="str">
        <f t="array" ref="D793">IFERROR(INDEX(Data!A:A, MATCH($E793, Data!$B:$B, 0)), "")</f>
        <v/>
      </c>
      <c r="E793" s="9" t="str">
        <f>LARGE(Data!$B$2:$B1000,A793 )</f>
        <v>#NUM!</v>
      </c>
      <c r="F793" s="9" t="str">
        <f t="array" ref="F793">IFERROR(INDEX(Data!C:C, MATCH($E793, Data!$B:$B, 0)), "")</f>
        <v/>
      </c>
      <c r="G793" s="9" t="str">
        <f t="array" ref="G793">IFERROR(INDEX(Data!D:D, MATCH($E793, Data!$B:$B, 0)), "")</f>
        <v/>
      </c>
      <c r="H793" s="9" t="str">
        <f t="array" ref="H793">IFERROR(INDEX(Data!E:E, MATCH($E793, Data!$B:$B, 0)), "")</f>
        <v/>
      </c>
      <c r="I793" s="9" t="str">
        <f t="shared" si="1"/>
        <v/>
      </c>
      <c r="J793" s="9" t="str">
        <f t="shared" si="2"/>
        <v>#REF!</v>
      </c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12">
        <v>792.0</v>
      </c>
      <c r="B794" s="13"/>
      <c r="C794" s="9" t="str">
        <f t="array" ref="C794">IFERROR(INDEX(Data!F:F, MATCH($E794, Data!$B:$B, 0)), "")</f>
        <v/>
      </c>
      <c r="D794" s="9" t="str">
        <f t="array" ref="D794">IFERROR(INDEX(Data!A:A, MATCH($E794, Data!$B:$B, 0)), "")</f>
        <v/>
      </c>
      <c r="E794" s="9" t="str">
        <f>LARGE(Data!$B$2:$B1000,A794 )</f>
        <v>#NUM!</v>
      </c>
      <c r="F794" s="9" t="str">
        <f t="array" ref="F794">IFERROR(INDEX(Data!C:C, MATCH($E794, Data!$B:$B, 0)), "")</f>
        <v/>
      </c>
      <c r="G794" s="9" t="str">
        <f t="array" ref="G794">IFERROR(INDEX(Data!D:D, MATCH($E794, Data!$B:$B, 0)), "")</f>
        <v/>
      </c>
      <c r="H794" s="9" t="str">
        <f t="array" ref="H794">IFERROR(INDEX(Data!E:E, MATCH($E794, Data!$B:$B, 0)), "")</f>
        <v/>
      </c>
      <c r="I794" s="9" t="str">
        <f t="shared" si="1"/>
        <v/>
      </c>
      <c r="J794" s="9" t="str">
        <f t="shared" si="2"/>
        <v>#REF!</v>
      </c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12">
        <v>793.0</v>
      </c>
      <c r="B795" s="13"/>
      <c r="C795" s="9" t="str">
        <f t="array" ref="C795">IFERROR(INDEX(Data!F:F, MATCH($E795, Data!$B:$B, 0)), "")</f>
        <v/>
      </c>
      <c r="D795" s="9" t="str">
        <f t="array" ref="D795">IFERROR(INDEX(Data!A:A, MATCH($E795, Data!$B:$B, 0)), "")</f>
        <v/>
      </c>
      <c r="E795" s="9" t="str">
        <f>LARGE(Data!$B$2:$B1000,A795 )</f>
        <v>#NUM!</v>
      </c>
      <c r="F795" s="9" t="str">
        <f t="array" ref="F795">IFERROR(INDEX(Data!C:C, MATCH($E795, Data!$B:$B, 0)), "")</f>
        <v/>
      </c>
      <c r="G795" s="9" t="str">
        <f t="array" ref="G795">IFERROR(INDEX(Data!D:D, MATCH($E795, Data!$B:$B, 0)), "")</f>
        <v/>
      </c>
      <c r="H795" s="9" t="str">
        <f t="array" ref="H795">IFERROR(INDEX(Data!E:E, MATCH($E795, Data!$B:$B, 0)), "")</f>
        <v/>
      </c>
      <c r="I795" s="9" t="str">
        <f t="shared" si="1"/>
        <v/>
      </c>
      <c r="J795" s="9" t="str">
        <f t="shared" si="2"/>
        <v>#REF!</v>
      </c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12">
        <v>794.0</v>
      </c>
      <c r="B796" s="13"/>
      <c r="C796" s="9" t="str">
        <f t="array" ref="C796">IFERROR(INDEX(Data!F:F, MATCH($E796, Data!$B:$B, 0)), "")</f>
        <v/>
      </c>
      <c r="D796" s="9" t="str">
        <f t="array" ref="D796">IFERROR(INDEX(Data!A:A, MATCH($E796, Data!$B:$B, 0)), "")</f>
        <v/>
      </c>
      <c r="E796" s="9" t="str">
        <f>LARGE(Data!$B$2:$B1000,A796 )</f>
        <v>#NUM!</v>
      </c>
      <c r="F796" s="9" t="str">
        <f t="array" ref="F796">IFERROR(INDEX(Data!C:C, MATCH($E796, Data!$B:$B, 0)), "")</f>
        <v/>
      </c>
      <c r="G796" s="9" t="str">
        <f t="array" ref="G796">IFERROR(INDEX(Data!D:D, MATCH($E796, Data!$B:$B, 0)), "")</f>
        <v/>
      </c>
      <c r="H796" s="9" t="str">
        <f t="array" ref="H796">IFERROR(INDEX(Data!E:E, MATCH($E796, Data!$B:$B, 0)), "")</f>
        <v/>
      </c>
      <c r="I796" s="9" t="str">
        <f t="shared" si="1"/>
        <v/>
      </c>
      <c r="J796" s="9" t="str">
        <f t="shared" si="2"/>
        <v>#REF!</v>
      </c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12">
        <v>795.0</v>
      </c>
      <c r="B797" s="13"/>
      <c r="C797" s="9" t="str">
        <f t="array" ref="C797">IFERROR(INDEX(Data!F:F, MATCH($E797, Data!$B:$B, 0)), "")</f>
        <v/>
      </c>
      <c r="D797" s="9" t="str">
        <f t="array" ref="D797">IFERROR(INDEX(Data!A:A, MATCH($E797, Data!$B:$B, 0)), "")</f>
        <v/>
      </c>
      <c r="E797" s="9" t="str">
        <f>LARGE(Data!$B$2:$B1000,A797 )</f>
        <v>#NUM!</v>
      </c>
      <c r="F797" s="9" t="str">
        <f t="array" ref="F797">IFERROR(INDEX(Data!C:C, MATCH($E797, Data!$B:$B, 0)), "")</f>
        <v/>
      </c>
      <c r="G797" s="9" t="str">
        <f t="array" ref="G797">IFERROR(INDEX(Data!D:D, MATCH($E797, Data!$B:$B, 0)), "")</f>
        <v/>
      </c>
      <c r="H797" s="9" t="str">
        <f t="array" ref="H797">IFERROR(INDEX(Data!E:E, MATCH($E797, Data!$B:$B, 0)), "")</f>
        <v/>
      </c>
      <c r="I797" s="9" t="str">
        <f t="shared" si="1"/>
        <v/>
      </c>
      <c r="J797" s="9" t="str">
        <f t="shared" si="2"/>
        <v>#REF!</v>
      </c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12">
        <v>796.0</v>
      </c>
      <c r="B798" s="13"/>
      <c r="C798" s="9" t="str">
        <f t="array" ref="C798">IFERROR(INDEX(Data!F:F, MATCH($E798, Data!$B:$B, 0)), "")</f>
        <v/>
      </c>
      <c r="D798" s="9" t="str">
        <f t="array" ref="D798">IFERROR(INDEX(Data!A:A, MATCH($E798, Data!$B:$B, 0)), "")</f>
        <v/>
      </c>
      <c r="E798" s="9" t="str">
        <f>LARGE(Data!$B$2:$B1000,A798 )</f>
        <v>#NUM!</v>
      </c>
      <c r="F798" s="9" t="str">
        <f t="array" ref="F798">IFERROR(INDEX(Data!C:C, MATCH($E798, Data!$B:$B, 0)), "")</f>
        <v/>
      </c>
      <c r="G798" s="9" t="str">
        <f t="array" ref="G798">IFERROR(INDEX(Data!D:D, MATCH($E798, Data!$B:$B, 0)), "")</f>
        <v/>
      </c>
      <c r="H798" s="9" t="str">
        <f t="array" ref="H798">IFERROR(INDEX(Data!E:E, MATCH($E798, Data!$B:$B, 0)), "")</f>
        <v/>
      </c>
      <c r="I798" s="9" t="str">
        <f t="shared" si="1"/>
        <v/>
      </c>
      <c r="J798" s="9" t="str">
        <f t="shared" si="2"/>
        <v>#REF!</v>
      </c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12">
        <v>797.0</v>
      </c>
      <c r="B799" s="13"/>
      <c r="C799" s="9" t="str">
        <f t="array" ref="C799">IFERROR(INDEX(Data!F:F, MATCH($E799, Data!$B:$B, 0)), "")</f>
        <v/>
      </c>
      <c r="D799" s="9" t="str">
        <f t="array" ref="D799">IFERROR(INDEX(Data!A:A, MATCH($E799, Data!$B:$B, 0)), "")</f>
        <v/>
      </c>
      <c r="E799" s="9" t="str">
        <f>LARGE(Data!$B$2:$B1000,A799 )</f>
        <v>#NUM!</v>
      </c>
      <c r="F799" s="9" t="str">
        <f t="array" ref="F799">IFERROR(INDEX(Data!C:C, MATCH($E799, Data!$B:$B, 0)), "")</f>
        <v/>
      </c>
      <c r="G799" s="9" t="str">
        <f t="array" ref="G799">IFERROR(INDEX(Data!D:D, MATCH($E799, Data!$B:$B, 0)), "")</f>
        <v/>
      </c>
      <c r="H799" s="9" t="str">
        <f t="array" ref="H799">IFERROR(INDEX(Data!E:E, MATCH($E799, Data!$B:$B, 0)), "")</f>
        <v/>
      </c>
      <c r="I799" s="9" t="str">
        <f t="shared" si="1"/>
        <v/>
      </c>
      <c r="J799" s="9" t="str">
        <f t="shared" si="2"/>
        <v>#REF!</v>
      </c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12">
        <v>798.0</v>
      </c>
      <c r="B800" s="13"/>
      <c r="C800" s="9" t="str">
        <f t="array" ref="C800">IFERROR(INDEX(Data!F:F, MATCH($E800, Data!$B:$B, 0)), "")</f>
        <v/>
      </c>
      <c r="D800" s="9" t="str">
        <f t="array" ref="D800">IFERROR(INDEX(Data!A:A, MATCH($E800, Data!$B:$B, 0)), "")</f>
        <v/>
      </c>
      <c r="E800" s="9" t="str">
        <f>LARGE(Data!$B$2:$B1000,A800 )</f>
        <v>#NUM!</v>
      </c>
      <c r="F800" s="9" t="str">
        <f t="array" ref="F800">IFERROR(INDEX(Data!C:C, MATCH($E800, Data!$B:$B, 0)), "")</f>
        <v/>
      </c>
      <c r="G800" s="9" t="str">
        <f t="array" ref="G800">IFERROR(INDEX(Data!D:D, MATCH($E800, Data!$B:$B, 0)), "")</f>
        <v/>
      </c>
      <c r="H800" s="9" t="str">
        <f t="array" ref="H800">IFERROR(INDEX(Data!E:E, MATCH($E800, Data!$B:$B, 0)), "")</f>
        <v/>
      </c>
      <c r="I800" s="9" t="str">
        <f t="shared" si="1"/>
        <v/>
      </c>
      <c r="J800" s="9" t="str">
        <f t="shared" si="2"/>
        <v>#REF!</v>
      </c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12">
        <v>799.0</v>
      </c>
      <c r="B801" s="13"/>
      <c r="C801" s="9" t="str">
        <f t="array" ref="C801">IFERROR(INDEX(Data!F:F, MATCH($E801, Data!$B:$B, 0)), "")</f>
        <v/>
      </c>
      <c r="D801" s="9" t="str">
        <f t="array" ref="D801">IFERROR(INDEX(Data!A:A, MATCH($E801, Data!$B:$B, 0)), "")</f>
        <v/>
      </c>
      <c r="E801" s="9" t="str">
        <f>LARGE(Data!$B$2:$B1000,A801 )</f>
        <v>#NUM!</v>
      </c>
      <c r="F801" s="9" t="str">
        <f t="array" ref="F801">IFERROR(INDEX(Data!C:C, MATCH($E801, Data!$B:$B, 0)), "")</f>
        <v/>
      </c>
      <c r="G801" s="9" t="str">
        <f t="array" ref="G801">IFERROR(INDEX(Data!D:D, MATCH($E801, Data!$B:$B, 0)), "")</f>
        <v/>
      </c>
      <c r="H801" s="9" t="str">
        <f t="array" ref="H801">IFERROR(INDEX(Data!E:E, MATCH($E801, Data!$B:$B, 0)), "")</f>
        <v/>
      </c>
      <c r="I801" s="9" t="str">
        <f t="shared" si="1"/>
        <v/>
      </c>
      <c r="J801" s="9" t="str">
        <f t="shared" si="2"/>
        <v>#REF!</v>
      </c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12">
        <v>800.0</v>
      </c>
      <c r="B802" s="13"/>
      <c r="C802" s="9" t="str">
        <f t="array" ref="C802">IFERROR(INDEX(Data!F:F, MATCH($E802, Data!$B:$B, 0)), "")</f>
        <v/>
      </c>
      <c r="D802" s="9" t="str">
        <f t="array" ref="D802">IFERROR(INDEX(Data!A:A, MATCH($E802, Data!$B:$B, 0)), "")</f>
        <v/>
      </c>
      <c r="E802" s="9" t="str">
        <f>LARGE(Data!$B$2:$B1000,A802 )</f>
        <v>#NUM!</v>
      </c>
      <c r="F802" s="9" t="str">
        <f t="array" ref="F802">IFERROR(INDEX(Data!C:C, MATCH($E802, Data!$B:$B, 0)), "")</f>
        <v/>
      </c>
      <c r="G802" s="9" t="str">
        <f t="array" ref="G802">IFERROR(INDEX(Data!D:D, MATCH($E802, Data!$B:$B, 0)), "")</f>
        <v/>
      </c>
      <c r="H802" s="9" t="str">
        <f t="array" ref="H802">IFERROR(INDEX(Data!E:E, MATCH($E802, Data!$B:$B, 0)), "")</f>
        <v/>
      </c>
      <c r="I802" s="9" t="str">
        <f t="shared" si="1"/>
        <v/>
      </c>
      <c r="J802" s="9" t="str">
        <f t="shared" si="2"/>
        <v>#REF!</v>
      </c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12">
        <v>801.0</v>
      </c>
      <c r="B803" s="13"/>
      <c r="C803" s="9" t="str">
        <f t="array" ref="C803">IFERROR(INDEX(Data!F:F, MATCH($E803, Data!$B:$B, 0)), "")</f>
        <v/>
      </c>
      <c r="D803" s="9" t="str">
        <f t="array" ref="D803">IFERROR(INDEX(Data!A:A, MATCH($E803, Data!$B:$B, 0)), "")</f>
        <v/>
      </c>
      <c r="E803" s="9" t="str">
        <f>LARGE(Data!$B$2:$B1000,A803 )</f>
        <v>#NUM!</v>
      </c>
      <c r="F803" s="9" t="str">
        <f t="array" ref="F803">IFERROR(INDEX(Data!C:C, MATCH($E803, Data!$B:$B, 0)), "")</f>
        <v/>
      </c>
      <c r="G803" s="9" t="str">
        <f t="array" ref="G803">IFERROR(INDEX(Data!D:D, MATCH($E803, Data!$B:$B, 0)), "")</f>
        <v/>
      </c>
      <c r="H803" s="9" t="str">
        <f t="array" ref="H803">IFERROR(INDEX(Data!E:E, MATCH($E803, Data!$B:$B, 0)), "")</f>
        <v/>
      </c>
      <c r="I803" s="9" t="str">
        <f t="shared" si="1"/>
        <v/>
      </c>
      <c r="J803" s="9" t="str">
        <f t="shared" si="2"/>
        <v>#REF!</v>
      </c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12">
        <v>802.0</v>
      </c>
      <c r="B804" s="13"/>
      <c r="C804" s="9" t="str">
        <f t="array" ref="C804">IFERROR(INDEX(Data!F:F, MATCH($E804, Data!$B:$B, 0)), "")</f>
        <v/>
      </c>
      <c r="D804" s="9" t="str">
        <f t="array" ref="D804">IFERROR(INDEX(Data!A:A, MATCH($E804, Data!$B:$B, 0)), "")</f>
        <v/>
      </c>
      <c r="E804" s="9" t="str">
        <f>LARGE(Data!$B$2:$B1000,A804 )</f>
        <v>#NUM!</v>
      </c>
      <c r="F804" s="9" t="str">
        <f t="array" ref="F804">IFERROR(INDEX(Data!C:C, MATCH($E804, Data!$B:$B, 0)), "")</f>
        <v/>
      </c>
      <c r="G804" s="9" t="str">
        <f t="array" ref="G804">IFERROR(INDEX(Data!D:D, MATCH($E804, Data!$B:$B, 0)), "")</f>
        <v/>
      </c>
      <c r="H804" s="9" t="str">
        <f t="array" ref="H804">IFERROR(INDEX(Data!E:E, MATCH($E804, Data!$B:$B, 0)), "")</f>
        <v/>
      </c>
      <c r="I804" s="9" t="str">
        <f t="shared" si="1"/>
        <v/>
      </c>
      <c r="J804" s="9" t="str">
        <f t="shared" si="2"/>
        <v>#REF!</v>
      </c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12">
        <v>803.0</v>
      </c>
      <c r="B805" s="13"/>
      <c r="C805" s="9" t="str">
        <f t="array" ref="C805">IFERROR(INDEX(Data!F:F, MATCH($E805, Data!$B:$B, 0)), "")</f>
        <v/>
      </c>
      <c r="D805" s="9" t="str">
        <f t="array" ref="D805">IFERROR(INDEX(Data!A:A, MATCH($E805, Data!$B:$B, 0)), "")</f>
        <v/>
      </c>
      <c r="E805" s="9" t="str">
        <f>LARGE(Data!$B$2:$B1000,A805 )</f>
        <v>#NUM!</v>
      </c>
      <c r="F805" s="9" t="str">
        <f t="array" ref="F805">IFERROR(INDEX(Data!C:C, MATCH($E805, Data!$B:$B, 0)), "")</f>
        <v/>
      </c>
      <c r="G805" s="9" t="str">
        <f t="array" ref="G805">IFERROR(INDEX(Data!D:D, MATCH($E805, Data!$B:$B, 0)), "")</f>
        <v/>
      </c>
      <c r="H805" s="9" t="str">
        <f t="array" ref="H805">IFERROR(INDEX(Data!E:E, MATCH($E805, Data!$B:$B, 0)), "")</f>
        <v/>
      </c>
      <c r="I805" s="9" t="str">
        <f t="shared" si="1"/>
        <v/>
      </c>
      <c r="J805" s="9" t="str">
        <f t="shared" si="2"/>
        <v>#REF!</v>
      </c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12">
        <v>804.0</v>
      </c>
      <c r="B806" s="13"/>
      <c r="C806" s="9" t="str">
        <f t="array" ref="C806">IFERROR(INDEX(Data!F:F, MATCH($E806, Data!$B:$B, 0)), "")</f>
        <v/>
      </c>
      <c r="D806" s="9" t="str">
        <f t="array" ref="D806">IFERROR(INDEX(Data!A:A, MATCH($E806, Data!$B:$B, 0)), "")</f>
        <v/>
      </c>
      <c r="E806" s="9" t="str">
        <f>LARGE(Data!$B$2:$B1000,A806 )</f>
        <v>#NUM!</v>
      </c>
      <c r="F806" s="9" t="str">
        <f t="array" ref="F806">IFERROR(INDEX(Data!C:C, MATCH($E806, Data!$B:$B, 0)), "")</f>
        <v/>
      </c>
      <c r="G806" s="9" t="str">
        <f t="array" ref="G806">IFERROR(INDEX(Data!D:D, MATCH($E806, Data!$B:$B, 0)), "")</f>
        <v/>
      </c>
      <c r="H806" s="9" t="str">
        <f t="array" ref="H806">IFERROR(INDEX(Data!E:E, MATCH($E806, Data!$B:$B, 0)), "")</f>
        <v/>
      </c>
      <c r="I806" s="9" t="str">
        <f t="shared" si="1"/>
        <v/>
      </c>
      <c r="J806" s="9" t="str">
        <f t="shared" si="2"/>
        <v>#REF!</v>
      </c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12">
        <v>805.0</v>
      </c>
      <c r="B807" s="13"/>
      <c r="C807" s="9" t="str">
        <f t="array" ref="C807">IFERROR(INDEX(Data!F:F, MATCH($E807, Data!$B:$B, 0)), "")</f>
        <v/>
      </c>
      <c r="D807" s="9" t="str">
        <f t="array" ref="D807">IFERROR(INDEX(Data!A:A, MATCH($E807, Data!$B:$B, 0)), "")</f>
        <v/>
      </c>
      <c r="E807" s="9" t="str">
        <f>LARGE(Data!$B$2:$B1000,A807 )</f>
        <v>#NUM!</v>
      </c>
      <c r="F807" s="9" t="str">
        <f t="array" ref="F807">IFERROR(INDEX(Data!C:C, MATCH($E807, Data!$B:$B, 0)), "")</f>
        <v/>
      </c>
      <c r="G807" s="9" t="str">
        <f t="array" ref="G807">IFERROR(INDEX(Data!D:D, MATCH($E807, Data!$B:$B, 0)), "")</f>
        <v/>
      </c>
      <c r="H807" s="9" t="str">
        <f t="array" ref="H807">IFERROR(INDEX(Data!E:E, MATCH($E807, Data!$B:$B, 0)), "")</f>
        <v/>
      </c>
      <c r="I807" s="9" t="str">
        <f t="shared" si="1"/>
        <v/>
      </c>
      <c r="J807" s="9" t="str">
        <f t="shared" si="2"/>
        <v>#REF!</v>
      </c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12">
        <v>806.0</v>
      </c>
      <c r="B808" s="13"/>
      <c r="C808" s="9" t="str">
        <f t="array" ref="C808">IFERROR(INDEX(Data!F:F, MATCH($E808, Data!$B:$B, 0)), "")</f>
        <v/>
      </c>
      <c r="D808" s="9" t="str">
        <f t="array" ref="D808">IFERROR(INDEX(Data!A:A, MATCH($E808, Data!$B:$B, 0)), "")</f>
        <v/>
      </c>
      <c r="E808" s="9" t="str">
        <f>LARGE(Data!$B$2:$B1000,A808 )</f>
        <v>#NUM!</v>
      </c>
      <c r="F808" s="9" t="str">
        <f t="array" ref="F808">IFERROR(INDEX(Data!C:C, MATCH($E808, Data!$B:$B, 0)), "")</f>
        <v/>
      </c>
      <c r="G808" s="9" t="str">
        <f t="array" ref="G808">IFERROR(INDEX(Data!D:D, MATCH($E808, Data!$B:$B, 0)), "")</f>
        <v/>
      </c>
      <c r="H808" s="9" t="str">
        <f t="array" ref="H808">IFERROR(INDEX(Data!E:E, MATCH($E808, Data!$B:$B, 0)), "")</f>
        <v/>
      </c>
      <c r="I808" s="9" t="str">
        <f t="shared" si="1"/>
        <v/>
      </c>
      <c r="J808" s="9" t="str">
        <f t="shared" si="2"/>
        <v>#REF!</v>
      </c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12">
        <v>807.0</v>
      </c>
      <c r="B809" s="13"/>
      <c r="C809" s="9" t="str">
        <f t="array" ref="C809">IFERROR(INDEX(Data!F:F, MATCH($E809, Data!$B:$B, 0)), "")</f>
        <v/>
      </c>
      <c r="D809" s="9" t="str">
        <f t="array" ref="D809">IFERROR(INDEX(Data!A:A, MATCH($E809, Data!$B:$B, 0)), "")</f>
        <v/>
      </c>
      <c r="E809" s="9" t="str">
        <f>LARGE(Data!$B$2:$B1000,A809 )</f>
        <v>#NUM!</v>
      </c>
      <c r="F809" s="9" t="str">
        <f t="array" ref="F809">IFERROR(INDEX(Data!C:C, MATCH($E809, Data!$B:$B, 0)), "")</f>
        <v/>
      </c>
      <c r="G809" s="9" t="str">
        <f t="array" ref="G809">IFERROR(INDEX(Data!D:D, MATCH($E809, Data!$B:$B, 0)), "")</f>
        <v/>
      </c>
      <c r="H809" s="9" t="str">
        <f t="array" ref="H809">IFERROR(INDEX(Data!E:E, MATCH($E809, Data!$B:$B, 0)), "")</f>
        <v/>
      </c>
      <c r="I809" s="9" t="str">
        <f t="shared" si="1"/>
        <v/>
      </c>
      <c r="J809" s="9" t="str">
        <f t="shared" si="2"/>
        <v>#REF!</v>
      </c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12">
        <v>808.0</v>
      </c>
      <c r="B810" s="13"/>
      <c r="C810" s="9" t="str">
        <f t="array" ref="C810">IFERROR(INDEX(Data!F:F, MATCH($E810, Data!$B:$B, 0)), "")</f>
        <v/>
      </c>
      <c r="D810" s="9" t="str">
        <f t="array" ref="D810">IFERROR(INDEX(Data!A:A, MATCH($E810, Data!$B:$B, 0)), "")</f>
        <v/>
      </c>
      <c r="E810" s="9" t="str">
        <f>LARGE(Data!$B$2:$B1000,A810 )</f>
        <v>#NUM!</v>
      </c>
      <c r="F810" s="9" t="str">
        <f t="array" ref="F810">IFERROR(INDEX(Data!C:C, MATCH($E810, Data!$B:$B, 0)), "")</f>
        <v/>
      </c>
      <c r="G810" s="9" t="str">
        <f t="array" ref="G810">IFERROR(INDEX(Data!D:D, MATCH($E810, Data!$B:$B, 0)), "")</f>
        <v/>
      </c>
      <c r="H810" s="9" t="str">
        <f t="array" ref="H810">IFERROR(INDEX(Data!E:E, MATCH($E810, Data!$B:$B, 0)), "")</f>
        <v/>
      </c>
      <c r="I810" s="9" t="str">
        <f t="shared" si="1"/>
        <v/>
      </c>
      <c r="J810" s="9" t="str">
        <f t="shared" si="2"/>
        <v>#REF!</v>
      </c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12">
        <v>809.0</v>
      </c>
      <c r="B811" s="13"/>
      <c r="C811" s="9" t="str">
        <f t="array" ref="C811">IFERROR(INDEX(Data!F:F, MATCH($E811, Data!$B:$B, 0)), "")</f>
        <v/>
      </c>
      <c r="D811" s="9" t="str">
        <f t="array" ref="D811">IFERROR(INDEX(Data!A:A, MATCH($E811, Data!$B:$B, 0)), "")</f>
        <v/>
      </c>
      <c r="E811" s="9" t="str">
        <f>LARGE(Data!$B$2:$B1000,A811 )</f>
        <v>#NUM!</v>
      </c>
      <c r="F811" s="9" t="str">
        <f t="array" ref="F811">IFERROR(INDEX(Data!C:C, MATCH($E811, Data!$B:$B, 0)), "")</f>
        <v/>
      </c>
      <c r="G811" s="9" t="str">
        <f t="array" ref="G811">IFERROR(INDEX(Data!D:D, MATCH($E811, Data!$B:$B, 0)), "")</f>
        <v/>
      </c>
      <c r="H811" s="9" t="str">
        <f t="array" ref="H811">IFERROR(INDEX(Data!E:E, MATCH($E811, Data!$B:$B, 0)), "")</f>
        <v/>
      </c>
      <c r="I811" s="9" t="str">
        <f t="shared" si="1"/>
        <v/>
      </c>
      <c r="J811" s="9" t="str">
        <f t="shared" si="2"/>
        <v>#REF!</v>
      </c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12">
        <v>810.0</v>
      </c>
      <c r="B812" s="13"/>
      <c r="C812" s="9" t="str">
        <f t="array" ref="C812">IFERROR(INDEX(Data!F:F, MATCH($E812, Data!$B:$B, 0)), "")</f>
        <v/>
      </c>
      <c r="D812" s="9" t="str">
        <f t="array" ref="D812">IFERROR(INDEX(Data!A:A, MATCH($E812, Data!$B:$B, 0)), "")</f>
        <v/>
      </c>
      <c r="E812" s="9" t="str">
        <f>LARGE(Data!$B$2:$B1000,A812 )</f>
        <v>#NUM!</v>
      </c>
      <c r="F812" s="9" t="str">
        <f t="array" ref="F812">IFERROR(INDEX(Data!C:C, MATCH($E812, Data!$B:$B, 0)), "")</f>
        <v/>
      </c>
      <c r="G812" s="9" t="str">
        <f t="array" ref="G812">IFERROR(INDEX(Data!D:D, MATCH($E812, Data!$B:$B, 0)), "")</f>
        <v/>
      </c>
      <c r="H812" s="9" t="str">
        <f t="array" ref="H812">IFERROR(INDEX(Data!E:E, MATCH($E812, Data!$B:$B, 0)), "")</f>
        <v/>
      </c>
      <c r="I812" s="9" t="str">
        <f t="shared" si="1"/>
        <v/>
      </c>
      <c r="J812" s="9" t="str">
        <f t="shared" si="2"/>
        <v>#REF!</v>
      </c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12">
        <v>811.0</v>
      </c>
      <c r="B813" s="13"/>
      <c r="C813" s="9" t="str">
        <f t="array" ref="C813">IFERROR(INDEX(Data!F:F, MATCH($E813, Data!$B:$B, 0)), "")</f>
        <v/>
      </c>
      <c r="D813" s="9" t="str">
        <f t="array" ref="D813">IFERROR(INDEX(Data!A:A, MATCH($E813, Data!$B:$B, 0)), "")</f>
        <v/>
      </c>
      <c r="E813" s="9" t="str">
        <f>LARGE(Data!$B$2:$B1000,A813 )</f>
        <v>#NUM!</v>
      </c>
      <c r="F813" s="9" t="str">
        <f t="array" ref="F813">IFERROR(INDEX(Data!C:C, MATCH($E813, Data!$B:$B, 0)), "")</f>
        <v/>
      </c>
      <c r="G813" s="9" t="str">
        <f t="array" ref="G813">IFERROR(INDEX(Data!D:D, MATCH($E813, Data!$B:$B, 0)), "")</f>
        <v/>
      </c>
      <c r="H813" s="9" t="str">
        <f t="array" ref="H813">IFERROR(INDEX(Data!E:E, MATCH($E813, Data!$B:$B, 0)), "")</f>
        <v/>
      </c>
      <c r="I813" s="9" t="str">
        <f t="shared" si="1"/>
        <v/>
      </c>
      <c r="J813" s="9" t="str">
        <f t="shared" si="2"/>
        <v>#REF!</v>
      </c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12">
        <v>812.0</v>
      </c>
      <c r="B814" s="13"/>
      <c r="C814" s="9" t="str">
        <f t="array" ref="C814">IFERROR(INDEX(Data!F:F, MATCH($E814, Data!$B:$B, 0)), "")</f>
        <v/>
      </c>
      <c r="D814" s="9" t="str">
        <f t="array" ref="D814">IFERROR(INDEX(Data!A:A, MATCH($E814, Data!$B:$B, 0)), "")</f>
        <v/>
      </c>
      <c r="E814" s="9" t="str">
        <f>LARGE(Data!$B$2:$B1000,A814 )</f>
        <v>#NUM!</v>
      </c>
      <c r="F814" s="9" t="str">
        <f t="array" ref="F814">IFERROR(INDEX(Data!C:C, MATCH($E814, Data!$B:$B, 0)), "")</f>
        <v/>
      </c>
      <c r="G814" s="9" t="str">
        <f t="array" ref="G814">IFERROR(INDEX(Data!D:D, MATCH($E814, Data!$B:$B, 0)), "")</f>
        <v/>
      </c>
      <c r="H814" s="9" t="str">
        <f t="array" ref="H814">IFERROR(INDEX(Data!E:E, MATCH($E814, Data!$B:$B, 0)), "")</f>
        <v/>
      </c>
      <c r="I814" s="9" t="str">
        <f t="shared" si="1"/>
        <v/>
      </c>
      <c r="J814" s="9" t="str">
        <f t="shared" si="2"/>
        <v>#REF!</v>
      </c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12">
        <v>813.0</v>
      </c>
      <c r="B815" s="13"/>
      <c r="C815" s="9" t="str">
        <f t="array" ref="C815">IFERROR(INDEX(Data!F:F, MATCH($E815, Data!$B:$B, 0)), "")</f>
        <v/>
      </c>
      <c r="D815" s="9" t="str">
        <f t="array" ref="D815">IFERROR(INDEX(Data!A:A, MATCH($E815, Data!$B:$B, 0)), "")</f>
        <v/>
      </c>
      <c r="E815" s="9" t="str">
        <f>LARGE(Data!$B$2:$B1000,A815 )</f>
        <v>#NUM!</v>
      </c>
      <c r="F815" s="9" t="str">
        <f t="array" ref="F815">IFERROR(INDEX(Data!C:C, MATCH($E815, Data!$B:$B, 0)), "")</f>
        <v/>
      </c>
      <c r="G815" s="9" t="str">
        <f t="array" ref="G815">IFERROR(INDEX(Data!D:D, MATCH($E815, Data!$B:$B, 0)), "")</f>
        <v/>
      </c>
      <c r="H815" s="9" t="str">
        <f t="array" ref="H815">IFERROR(INDEX(Data!E:E, MATCH($E815, Data!$B:$B, 0)), "")</f>
        <v/>
      </c>
      <c r="I815" s="9" t="str">
        <f t="shared" si="1"/>
        <v/>
      </c>
      <c r="J815" s="9" t="str">
        <f t="shared" si="2"/>
        <v>#REF!</v>
      </c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12">
        <v>814.0</v>
      </c>
      <c r="B816" s="13"/>
      <c r="C816" s="9" t="str">
        <f t="array" ref="C816">IFERROR(INDEX(Data!F:F, MATCH($E816, Data!$B:$B, 0)), "")</f>
        <v/>
      </c>
      <c r="D816" s="9" t="str">
        <f t="array" ref="D816">IFERROR(INDEX(Data!A:A, MATCH($E816, Data!$B:$B, 0)), "")</f>
        <v/>
      </c>
      <c r="E816" s="9" t="str">
        <f>LARGE(Data!$B$2:$B1000,A816 )</f>
        <v>#NUM!</v>
      </c>
      <c r="F816" s="9" t="str">
        <f t="array" ref="F816">IFERROR(INDEX(Data!C:C, MATCH($E816, Data!$B:$B, 0)), "")</f>
        <v/>
      </c>
      <c r="G816" s="9" t="str">
        <f t="array" ref="G816">IFERROR(INDEX(Data!D:D, MATCH($E816, Data!$B:$B, 0)), "")</f>
        <v/>
      </c>
      <c r="H816" s="9" t="str">
        <f t="array" ref="H816">IFERROR(INDEX(Data!E:E, MATCH($E816, Data!$B:$B, 0)), "")</f>
        <v/>
      </c>
      <c r="I816" s="9" t="str">
        <f t="shared" si="1"/>
        <v/>
      </c>
      <c r="J816" s="9" t="str">
        <f t="shared" si="2"/>
        <v>#REF!</v>
      </c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12">
        <v>815.0</v>
      </c>
      <c r="B817" s="13"/>
      <c r="C817" s="9" t="str">
        <f t="array" ref="C817">IFERROR(INDEX(Data!F:F, MATCH($E817, Data!$B:$B, 0)), "")</f>
        <v/>
      </c>
      <c r="D817" s="9" t="str">
        <f t="array" ref="D817">IFERROR(INDEX(Data!A:A, MATCH($E817, Data!$B:$B, 0)), "")</f>
        <v/>
      </c>
      <c r="E817" s="9" t="str">
        <f>LARGE(Data!$B$2:$B1000,A817 )</f>
        <v>#NUM!</v>
      </c>
      <c r="F817" s="9" t="str">
        <f t="array" ref="F817">IFERROR(INDEX(Data!C:C, MATCH($E817, Data!$B:$B, 0)), "")</f>
        <v/>
      </c>
      <c r="G817" s="9" t="str">
        <f t="array" ref="G817">IFERROR(INDEX(Data!D:D, MATCH($E817, Data!$B:$B, 0)), "")</f>
        <v/>
      </c>
      <c r="H817" s="9" t="str">
        <f t="array" ref="H817">IFERROR(INDEX(Data!E:E, MATCH($E817, Data!$B:$B, 0)), "")</f>
        <v/>
      </c>
      <c r="I817" s="9" t="str">
        <f t="shared" si="1"/>
        <v/>
      </c>
      <c r="J817" s="9" t="str">
        <f t="shared" si="2"/>
        <v>#REF!</v>
      </c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12">
        <v>816.0</v>
      </c>
      <c r="B818" s="13"/>
      <c r="C818" s="9" t="str">
        <f t="array" ref="C818">IFERROR(INDEX(Data!F:F, MATCH($E818, Data!$B:$B, 0)), "")</f>
        <v/>
      </c>
      <c r="D818" s="9" t="str">
        <f t="array" ref="D818">IFERROR(INDEX(Data!A:A, MATCH($E818, Data!$B:$B, 0)), "")</f>
        <v/>
      </c>
      <c r="E818" s="9" t="str">
        <f>LARGE(Data!$B$2:$B1000,A818 )</f>
        <v>#NUM!</v>
      </c>
      <c r="F818" s="9" t="str">
        <f t="array" ref="F818">IFERROR(INDEX(Data!C:C, MATCH($E818, Data!$B:$B, 0)), "")</f>
        <v/>
      </c>
      <c r="G818" s="9" t="str">
        <f t="array" ref="G818">IFERROR(INDEX(Data!D:D, MATCH($E818, Data!$B:$B, 0)), "")</f>
        <v/>
      </c>
      <c r="H818" s="9" t="str">
        <f t="array" ref="H818">IFERROR(INDEX(Data!E:E, MATCH($E818, Data!$B:$B, 0)), "")</f>
        <v/>
      </c>
      <c r="I818" s="9" t="str">
        <f t="shared" si="1"/>
        <v/>
      </c>
      <c r="J818" s="9" t="str">
        <f t="shared" si="2"/>
        <v>#REF!</v>
      </c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12">
        <v>817.0</v>
      </c>
      <c r="B819" s="13"/>
      <c r="C819" s="9" t="str">
        <f t="array" ref="C819">IFERROR(INDEX(Data!F:F, MATCH($E819, Data!$B:$B, 0)), "")</f>
        <v/>
      </c>
      <c r="D819" s="9" t="str">
        <f t="array" ref="D819">IFERROR(INDEX(Data!A:A, MATCH($E819, Data!$B:$B, 0)), "")</f>
        <v/>
      </c>
      <c r="E819" s="9" t="str">
        <f>LARGE(Data!$B$2:$B1000,A819 )</f>
        <v>#NUM!</v>
      </c>
      <c r="F819" s="9" t="str">
        <f t="array" ref="F819">IFERROR(INDEX(Data!C:C, MATCH($E819, Data!$B:$B, 0)), "")</f>
        <v/>
      </c>
      <c r="G819" s="9" t="str">
        <f t="array" ref="G819">IFERROR(INDEX(Data!D:D, MATCH($E819, Data!$B:$B, 0)), "")</f>
        <v/>
      </c>
      <c r="H819" s="9" t="str">
        <f t="array" ref="H819">IFERROR(INDEX(Data!E:E, MATCH($E819, Data!$B:$B, 0)), "")</f>
        <v/>
      </c>
      <c r="I819" s="9" t="str">
        <f t="shared" si="1"/>
        <v/>
      </c>
      <c r="J819" s="9" t="str">
        <f t="shared" si="2"/>
        <v>#REF!</v>
      </c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12">
        <v>818.0</v>
      </c>
      <c r="B820" s="13"/>
      <c r="C820" s="9" t="str">
        <f t="array" ref="C820">IFERROR(INDEX(Data!F:F, MATCH($E820, Data!$B:$B, 0)), "")</f>
        <v/>
      </c>
      <c r="D820" s="9" t="str">
        <f t="array" ref="D820">IFERROR(INDEX(Data!A:A, MATCH($E820, Data!$B:$B, 0)), "")</f>
        <v/>
      </c>
      <c r="E820" s="9" t="str">
        <f>LARGE(Data!$B$2:$B1000,A820 )</f>
        <v>#NUM!</v>
      </c>
      <c r="F820" s="9" t="str">
        <f t="array" ref="F820">IFERROR(INDEX(Data!C:C, MATCH($E820, Data!$B:$B, 0)), "")</f>
        <v/>
      </c>
      <c r="G820" s="9" t="str">
        <f t="array" ref="G820">IFERROR(INDEX(Data!D:D, MATCH($E820, Data!$B:$B, 0)), "")</f>
        <v/>
      </c>
      <c r="H820" s="9" t="str">
        <f t="array" ref="H820">IFERROR(INDEX(Data!E:E, MATCH($E820, Data!$B:$B, 0)), "")</f>
        <v/>
      </c>
      <c r="I820" s="9" t="str">
        <f t="shared" si="1"/>
        <v/>
      </c>
      <c r="J820" s="9" t="str">
        <f t="shared" si="2"/>
        <v>#REF!</v>
      </c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12">
        <v>819.0</v>
      </c>
      <c r="B821" s="13"/>
      <c r="C821" s="9" t="str">
        <f t="array" ref="C821">IFERROR(INDEX(Data!F:F, MATCH($E821, Data!$B:$B, 0)), "")</f>
        <v/>
      </c>
      <c r="D821" s="9" t="str">
        <f t="array" ref="D821">IFERROR(INDEX(Data!A:A, MATCH($E821, Data!$B:$B, 0)), "")</f>
        <v/>
      </c>
      <c r="E821" s="9" t="str">
        <f>LARGE(Data!$B$2:$B1000,A821 )</f>
        <v>#NUM!</v>
      </c>
      <c r="F821" s="9" t="str">
        <f t="array" ref="F821">IFERROR(INDEX(Data!C:C, MATCH($E821, Data!$B:$B, 0)), "")</f>
        <v/>
      </c>
      <c r="G821" s="9" t="str">
        <f t="array" ref="G821">IFERROR(INDEX(Data!D:D, MATCH($E821, Data!$B:$B, 0)), "")</f>
        <v/>
      </c>
      <c r="H821" s="9" t="str">
        <f t="array" ref="H821">IFERROR(INDEX(Data!E:E, MATCH($E821, Data!$B:$B, 0)), "")</f>
        <v/>
      </c>
      <c r="I821" s="9" t="str">
        <f t="shared" si="1"/>
        <v/>
      </c>
      <c r="J821" s="9" t="str">
        <f t="shared" si="2"/>
        <v>#REF!</v>
      </c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12">
        <v>820.0</v>
      </c>
      <c r="B822" s="13"/>
      <c r="C822" s="9" t="str">
        <f t="array" ref="C822">IFERROR(INDEX(Data!F:F, MATCH($E822, Data!$B:$B, 0)), "")</f>
        <v/>
      </c>
      <c r="D822" s="9" t="str">
        <f t="array" ref="D822">IFERROR(INDEX(Data!A:A, MATCH($E822, Data!$B:$B, 0)), "")</f>
        <v/>
      </c>
      <c r="E822" s="9" t="str">
        <f>LARGE(Data!$B$2:$B1000,A822 )</f>
        <v>#NUM!</v>
      </c>
      <c r="F822" s="9" t="str">
        <f t="array" ref="F822">IFERROR(INDEX(Data!C:C, MATCH($E822, Data!$B:$B, 0)), "")</f>
        <v/>
      </c>
      <c r="G822" s="9" t="str">
        <f t="array" ref="G822">IFERROR(INDEX(Data!D:D, MATCH($E822, Data!$B:$B, 0)), "")</f>
        <v/>
      </c>
      <c r="H822" s="9" t="str">
        <f t="array" ref="H822">IFERROR(INDEX(Data!E:E, MATCH($E822, Data!$B:$B, 0)), "")</f>
        <v/>
      </c>
      <c r="I822" s="9" t="str">
        <f t="shared" si="1"/>
        <v/>
      </c>
      <c r="J822" s="9" t="str">
        <f t="shared" si="2"/>
        <v>#REF!</v>
      </c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12">
        <v>821.0</v>
      </c>
      <c r="B823" s="13"/>
      <c r="C823" s="9" t="str">
        <f t="array" ref="C823">IFERROR(INDEX(Data!F:F, MATCH($E823, Data!$B:$B, 0)), "")</f>
        <v/>
      </c>
      <c r="D823" s="9" t="str">
        <f t="array" ref="D823">IFERROR(INDEX(Data!A:A, MATCH($E823, Data!$B:$B, 0)), "")</f>
        <v/>
      </c>
      <c r="E823" s="9" t="str">
        <f>LARGE(Data!$B$2:$B1000,A823 )</f>
        <v>#NUM!</v>
      </c>
      <c r="F823" s="9" t="str">
        <f t="array" ref="F823">IFERROR(INDEX(Data!C:C, MATCH($E823, Data!$B:$B, 0)), "")</f>
        <v/>
      </c>
      <c r="G823" s="9" t="str">
        <f t="array" ref="G823">IFERROR(INDEX(Data!D:D, MATCH($E823, Data!$B:$B, 0)), "")</f>
        <v/>
      </c>
      <c r="H823" s="9" t="str">
        <f t="array" ref="H823">IFERROR(INDEX(Data!E:E, MATCH($E823, Data!$B:$B, 0)), "")</f>
        <v/>
      </c>
      <c r="I823" s="9" t="str">
        <f t="shared" si="1"/>
        <v/>
      </c>
      <c r="J823" s="9" t="str">
        <f t="shared" si="2"/>
        <v>#REF!</v>
      </c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12">
        <v>822.0</v>
      </c>
      <c r="B824" s="13"/>
      <c r="C824" s="9" t="str">
        <f t="array" ref="C824">IFERROR(INDEX(Data!F:F, MATCH($E824, Data!$B:$B, 0)), "")</f>
        <v/>
      </c>
      <c r="D824" s="9" t="str">
        <f t="array" ref="D824">IFERROR(INDEX(Data!A:A, MATCH($E824, Data!$B:$B, 0)), "")</f>
        <v/>
      </c>
      <c r="E824" s="9" t="str">
        <f>LARGE(Data!$B$2:$B1000,A824 )</f>
        <v>#NUM!</v>
      </c>
      <c r="F824" s="9" t="str">
        <f t="array" ref="F824">IFERROR(INDEX(Data!C:C, MATCH($E824, Data!$B:$B, 0)), "")</f>
        <v/>
      </c>
      <c r="G824" s="9" t="str">
        <f t="array" ref="G824">IFERROR(INDEX(Data!D:D, MATCH($E824, Data!$B:$B, 0)), "")</f>
        <v/>
      </c>
      <c r="H824" s="9" t="str">
        <f t="array" ref="H824">IFERROR(INDEX(Data!E:E, MATCH($E824, Data!$B:$B, 0)), "")</f>
        <v/>
      </c>
      <c r="I824" s="9" t="str">
        <f t="shared" si="1"/>
        <v/>
      </c>
      <c r="J824" s="9" t="str">
        <f t="shared" si="2"/>
        <v>#REF!</v>
      </c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12">
        <v>823.0</v>
      </c>
      <c r="B825" s="13"/>
      <c r="C825" s="9" t="str">
        <f t="array" ref="C825">IFERROR(INDEX(Data!F:F, MATCH($E825, Data!$B:$B, 0)), "")</f>
        <v/>
      </c>
      <c r="D825" s="9" t="str">
        <f t="array" ref="D825">IFERROR(INDEX(Data!A:A, MATCH($E825, Data!$B:$B, 0)), "")</f>
        <v/>
      </c>
      <c r="E825" s="9" t="str">
        <f>LARGE(Data!$B$2:$B1000,A825 )</f>
        <v>#NUM!</v>
      </c>
      <c r="F825" s="9" t="str">
        <f t="array" ref="F825">IFERROR(INDEX(Data!C:C, MATCH($E825, Data!$B:$B, 0)), "")</f>
        <v/>
      </c>
      <c r="G825" s="9" t="str">
        <f t="array" ref="G825">IFERROR(INDEX(Data!D:D, MATCH($E825, Data!$B:$B, 0)), "")</f>
        <v/>
      </c>
      <c r="H825" s="9" t="str">
        <f t="array" ref="H825">IFERROR(INDEX(Data!E:E, MATCH($E825, Data!$B:$B, 0)), "")</f>
        <v/>
      </c>
      <c r="I825" s="9" t="str">
        <f t="shared" si="1"/>
        <v/>
      </c>
      <c r="J825" s="9" t="str">
        <f t="shared" si="2"/>
        <v>#REF!</v>
      </c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12">
        <v>824.0</v>
      </c>
      <c r="B826" s="13"/>
      <c r="C826" s="9" t="str">
        <f t="array" ref="C826">IFERROR(INDEX(Data!F:F, MATCH($E826, Data!$B:$B, 0)), "")</f>
        <v/>
      </c>
      <c r="D826" s="9" t="str">
        <f t="array" ref="D826">IFERROR(INDEX(Data!A:A, MATCH($E826, Data!$B:$B, 0)), "")</f>
        <v/>
      </c>
      <c r="E826" s="9" t="str">
        <f>LARGE(Data!$B$2:$B1000,A826 )</f>
        <v>#NUM!</v>
      </c>
      <c r="F826" s="9" t="str">
        <f t="array" ref="F826">IFERROR(INDEX(Data!C:C, MATCH($E826, Data!$B:$B, 0)), "")</f>
        <v/>
      </c>
      <c r="G826" s="9" t="str">
        <f t="array" ref="G826">IFERROR(INDEX(Data!D:D, MATCH($E826, Data!$B:$B, 0)), "")</f>
        <v/>
      </c>
      <c r="H826" s="9" t="str">
        <f t="array" ref="H826">IFERROR(INDEX(Data!E:E, MATCH($E826, Data!$B:$B, 0)), "")</f>
        <v/>
      </c>
      <c r="I826" s="9" t="str">
        <f t="shared" si="1"/>
        <v/>
      </c>
      <c r="J826" s="9" t="str">
        <f t="shared" si="2"/>
        <v>#REF!</v>
      </c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12">
        <v>825.0</v>
      </c>
      <c r="B827" s="13"/>
      <c r="C827" s="9" t="str">
        <f t="array" ref="C827">IFERROR(INDEX(Data!F:F, MATCH($E827, Data!$B:$B, 0)), "")</f>
        <v/>
      </c>
      <c r="D827" s="9" t="str">
        <f t="array" ref="D827">IFERROR(INDEX(Data!A:A, MATCH($E827, Data!$B:$B, 0)), "")</f>
        <v/>
      </c>
      <c r="E827" s="9" t="str">
        <f>LARGE(Data!$B$2:$B1000,A827 )</f>
        <v>#NUM!</v>
      </c>
      <c r="F827" s="9" t="str">
        <f t="array" ref="F827">IFERROR(INDEX(Data!C:C, MATCH($E827, Data!$B:$B, 0)), "")</f>
        <v/>
      </c>
      <c r="G827" s="9" t="str">
        <f t="array" ref="G827">IFERROR(INDEX(Data!D:D, MATCH($E827, Data!$B:$B, 0)), "")</f>
        <v/>
      </c>
      <c r="H827" s="9" t="str">
        <f t="array" ref="H827">IFERROR(INDEX(Data!E:E, MATCH($E827, Data!$B:$B, 0)), "")</f>
        <v/>
      </c>
      <c r="I827" s="9" t="str">
        <f t="shared" si="1"/>
        <v/>
      </c>
      <c r="J827" s="9" t="str">
        <f t="shared" si="2"/>
        <v>#REF!</v>
      </c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12">
        <v>826.0</v>
      </c>
      <c r="B828" s="13"/>
      <c r="C828" s="9" t="str">
        <f t="array" ref="C828">IFERROR(INDEX(Data!F:F, MATCH($E828, Data!$B:$B, 0)), "")</f>
        <v/>
      </c>
      <c r="D828" s="9" t="str">
        <f t="array" ref="D828">IFERROR(INDEX(Data!A:A, MATCH($E828, Data!$B:$B, 0)), "")</f>
        <v/>
      </c>
      <c r="E828" s="9" t="str">
        <f>LARGE(Data!$B$2:$B1000,A828 )</f>
        <v>#NUM!</v>
      </c>
      <c r="F828" s="9" t="str">
        <f t="array" ref="F828">IFERROR(INDEX(Data!C:C, MATCH($E828, Data!$B:$B, 0)), "")</f>
        <v/>
      </c>
      <c r="G828" s="9" t="str">
        <f t="array" ref="G828">IFERROR(INDEX(Data!D:D, MATCH($E828, Data!$B:$B, 0)), "")</f>
        <v/>
      </c>
      <c r="H828" s="9" t="str">
        <f t="array" ref="H828">IFERROR(INDEX(Data!E:E, MATCH($E828, Data!$B:$B, 0)), "")</f>
        <v/>
      </c>
      <c r="I828" s="9" t="str">
        <f t="shared" si="1"/>
        <v/>
      </c>
      <c r="J828" s="9" t="str">
        <f t="shared" si="2"/>
        <v>#REF!</v>
      </c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12">
        <v>827.0</v>
      </c>
      <c r="B829" s="13"/>
      <c r="C829" s="9" t="str">
        <f t="array" ref="C829">IFERROR(INDEX(Data!F:F, MATCH($E829, Data!$B:$B, 0)), "")</f>
        <v/>
      </c>
      <c r="D829" s="9" t="str">
        <f t="array" ref="D829">IFERROR(INDEX(Data!A:A, MATCH($E829, Data!$B:$B, 0)), "")</f>
        <v/>
      </c>
      <c r="E829" s="9" t="str">
        <f>LARGE(Data!$B$2:$B1000,A829 )</f>
        <v>#NUM!</v>
      </c>
      <c r="F829" s="9" t="str">
        <f t="array" ref="F829">IFERROR(INDEX(Data!C:C, MATCH($E829, Data!$B:$B, 0)), "")</f>
        <v/>
      </c>
      <c r="G829" s="9" t="str">
        <f t="array" ref="G829">IFERROR(INDEX(Data!D:D, MATCH($E829, Data!$B:$B, 0)), "")</f>
        <v/>
      </c>
      <c r="H829" s="9" t="str">
        <f t="array" ref="H829">IFERROR(INDEX(Data!E:E, MATCH($E829, Data!$B:$B, 0)), "")</f>
        <v/>
      </c>
      <c r="I829" s="9" t="str">
        <f t="shared" si="1"/>
        <v/>
      </c>
      <c r="J829" s="9" t="str">
        <f t="shared" si="2"/>
        <v>#REF!</v>
      </c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12">
        <v>828.0</v>
      </c>
      <c r="B830" s="13"/>
      <c r="C830" s="9" t="str">
        <f t="array" ref="C830">IFERROR(INDEX(Data!F:F, MATCH($E830, Data!$B:$B, 0)), "")</f>
        <v/>
      </c>
      <c r="D830" s="9" t="str">
        <f t="array" ref="D830">IFERROR(INDEX(Data!A:A, MATCH($E830, Data!$B:$B, 0)), "")</f>
        <v/>
      </c>
      <c r="E830" s="9" t="str">
        <f>LARGE(Data!$B$2:$B1000,A830 )</f>
        <v>#NUM!</v>
      </c>
      <c r="F830" s="9" t="str">
        <f t="array" ref="F830">IFERROR(INDEX(Data!C:C, MATCH($E830, Data!$B:$B, 0)), "")</f>
        <v/>
      </c>
      <c r="G830" s="9" t="str">
        <f t="array" ref="G830">IFERROR(INDEX(Data!D:D, MATCH($E830, Data!$B:$B, 0)), "")</f>
        <v/>
      </c>
      <c r="H830" s="9" t="str">
        <f t="array" ref="H830">IFERROR(INDEX(Data!E:E, MATCH($E830, Data!$B:$B, 0)), "")</f>
        <v/>
      </c>
      <c r="I830" s="9" t="str">
        <f t="shared" si="1"/>
        <v/>
      </c>
      <c r="J830" s="9" t="str">
        <f t="shared" si="2"/>
        <v>#REF!</v>
      </c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12">
        <v>829.0</v>
      </c>
      <c r="B831" s="13"/>
      <c r="C831" s="9" t="str">
        <f t="array" ref="C831">IFERROR(INDEX(Data!F:F, MATCH($E831, Data!$B:$B, 0)), "")</f>
        <v/>
      </c>
      <c r="D831" s="9" t="str">
        <f t="array" ref="D831">IFERROR(INDEX(Data!A:A, MATCH($E831, Data!$B:$B, 0)), "")</f>
        <v/>
      </c>
      <c r="E831" s="9" t="str">
        <f>LARGE(Data!$B$2:$B1000,A831 )</f>
        <v>#NUM!</v>
      </c>
      <c r="F831" s="9" t="str">
        <f t="array" ref="F831">IFERROR(INDEX(Data!C:C, MATCH($E831, Data!$B:$B, 0)), "")</f>
        <v/>
      </c>
      <c r="G831" s="9" t="str">
        <f t="array" ref="G831">IFERROR(INDEX(Data!D:D, MATCH($E831, Data!$B:$B, 0)), "")</f>
        <v/>
      </c>
      <c r="H831" s="9" t="str">
        <f t="array" ref="H831">IFERROR(INDEX(Data!E:E, MATCH($E831, Data!$B:$B, 0)), "")</f>
        <v/>
      </c>
      <c r="I831" s="9" t="str">
        <f t="shared" si="1"/>
        <v/>
      </c>
      <c r="J831" s="9" t="str">
        <f t="shared" si="2"/>
        <v>#REF!</v>
      </c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12">
        <v>830.0</v>
      </c>
      <c r="B832" s="13"/>
      <c r="C832" s="9" t="str">
        <f t="array" ref="C832">IFERROR(INDEX(Data!F:F, MATCH($E832, Data!$B:$B, 0)), "")</f>
        <v/>
      </c>
      <c r="D832" s="9" t="str">
        <f t="array" ref="D832">IFERROR(INDEX(Data!A:A, MATCH($E832, Data!$B:$B, 0)), "")</f>
        <v/>
      </c>
      <c r="E832" s="9" t="str">
        <f>LARGE(Data!$B$2:$B1000,A832 )</f>
        <v>#NUM!</v>
      </c>
      <c r="F832" s="9" t="str">
        <f t="array" ref="F832">IFERROR(INDEX(Data!C:C, MATCH($E832, Data!$B:$B, 0)), "")</f>
        <v/>
      </c>
      <c r="G832" s="9" t="str">
        <f t="array" ref="G832">IFERROR(INDEX(Data!D:D, MATCH($E832, Data!$B:$B, 0)), "")</f>
        <v/>
      </c>
      <c r="H832" s="9" t="str">
        <f t="array" ref="H832">IFERROR(INDEX(Data!E:E, MATCH($E832, Data!$B:$B, 0)), "")</f>
        <v/>
      </c>
      <c r="I832" s="9" t="str">
        <f t="shared" si="1"/>
        <v/>
      </c>
      <c r="J832" s="9" t="str">
        <f t="shared" si="2"/>
        <v>#REF!</v>
      </c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12">
        <v>831.0</v>
      </c>
      <c r="B833" s="13"/>
      <c r="C833" s="9" t="str">
        <f t="array" ref="C833">IFERROR(INDEX(Data!F:F, MATCH($E833, Data!$B:$B, 0)), "")</f>
        <v/>
      </c>
      <c r="D833" s="9" t="str">
        <f t="array" ref="D833">IFERROR(INDEX(Data!A:A, MATCH($E833, Data!$B:$B, 0)), "")</f>
        <v/>
      </c>
      <c r="E833" s="9" t="str">
        <f>LARGE(Data!$B$2:$B1000,A833 )</f>
        <v>#NUM!</v>
      </c>
      <c r="F833" s="9" t="str">
        <f t="array" ref="F833">IFERROR(INDEX(Data!C:C, MATCH($E833, Data!$B:$B, 0)), "")</f>
        <v/>
      </c>
      <c r="G833" s="9" t="str">
        <f t="array" ref="G833">IFERROR(INDEX(Data!D:D, MATCH($E833, Data!$B:$B, 0)), "")</f>
        <v/>
      </c>
      <c r="H833" s="9" t="str">
        <f t="array" ref="H833">IFERROR(INDEX(Data!E:E, MATCH($E833, Data!$B:$B, 0)), "")</f>
        <v/>
      </c>
      <c r="I833" s="9" t="str">
        <f t="shared" si="1"/>
        <v/>
      </c>
      <c r="J833" s="9" t="str">
        <f t="shared" si="2"/>
        <v>#REF!</v>
      </c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12">
        <v>832.0</v>
      </c>
      <c r="B834" s="13"/>
      <c r="C834" s="9" t="str">
        <f t="array" ref="C834">IFERROR(INDEX(Data!F:F, MATCH($E834, Data!$B:$B, 0)), "")</f>
        <v/>
      </c>
      <c r="D834" s="9" t="str">
        <f t="array" ref="D834">IFERROR(INDEX(Data!A:A, MATCH($E834, Data!$B:$B, 0)), "")</f>
        <v/>
      </c>
      <c r="E834" s="9" t="str">
        <f>LARGE(Data!$B$2:$B1000,A834 )</f>
        <v>#NUM!</v>
      </c>
      <c r="F834" s="9" t="str">
        <f t="array" ref="F834">IFERROR(INDEX(Data!C:C, MATCH($E834, Data!$B:$B, 0)), "")</f>
        <v/>
      </c>
      <c r="G834" s="9" t="str">
        <f t="array" ref="G834">IFERROR(INDEX(Data!D:D, MATCH($E834, Data!$B:$B, 0)), "")</f>
        <v/>
      </c>
      <c r="H834" s="9" t="str">
        <f t="array" ref="H834">IFERROR(INDEX(Data!E:E, MATCH($E834, Data!$B:$B, 0)), "")</f>
        <v/>
      </c>
      <c r="I834" s="9" t="str">
        <f t="shared" si="1"/>
        <v/>
      </c>
      <c r="J834" s="9" t="str">
        <f t="shared" si="2"/>
        <v>#REF!</v>
      </c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12">
        <v>833.0</v>
      </c>
      <c r="B835" s="13"/>
      <c r="C835" s="9" t="str">
        <f t="array" ref="C835">IFERROR(INDEX(Data!F:F, MATCH($E835, Data!$B:$B, 0)), "")</f>
        <v/>
      </c>
      <c r="D835" s="9" t="str">
        <f t="array" ref="D835">IFERROR(INDEX(Data!A:A, MATCH($E835, Data!$B:$B, 0)), "")</f>
        <v/>
      </c>
      <c r="E835" s="9" t="str">
        <f>LARGE(Data!$B$2:$B1000,A835 )</f>
        <v>#NUM!</v>
      </c>
      <c r="F835" s="9" t="str">
        <f t="array" ref="F835">IFERROR(INDEX(Data!C:C, MATCH($E835, Data!$B:$B, 0)), "")</f>
        <v/>
      </c>
      <c r="G835" s="9" t="str">
        <f t="array" ref="G835">IFERROR(INDEX(Data!D:D, MATCH($E835, Data!$B:$B, 0)), "")</f>
        <v/>
      </c>
      <c r="H835" s="9" t="str">
        <f t="array" ref="H835">IFERROR(INDEX(Data!E:E, MATCH($E835, Data!$B:$B, 0)), "")</f>
        <v/>
      </c>
      <c r="I835" s="9" t="str">
        <f t="shared" si="1"/>
        <v/>
      </c>
      <c r="J835" s="9" t="str">
        <f t="shared" si="2"/>
        <v>#REF!</v>
      </c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12">
        <v>834.0</v>
      </c>
      <c r="B836" s="13"/>
      <c r="C836" s="9" t="str">
        <f t="array" ref="C836">IFERROR(INDEX(Data!F:F, MATCH($E836, Data!$B:$B, 0)), "")</f>
        <v/>
      </c>
      <c r="D836" s="9" t="str">
        <f t="array" ref="D836">IFERROR(INDEX(Data!A:A, MATCH($E836, Data!$B:$B, 0)), "")</f>
        <v/>
      </c>
      <c r="E836" s="9" t="str">
        <f>LARGE(Data!$B$2:$B1000,A836 )</f>
        <v>#NUM!</v>
      </c>
      <c r="F836" s="9" t="str">
        <f t="array" ref="F836">IFERROR(INDEX(Data!C:C, MATCH($E836, Data!$B:$B, 0)), "")</f>
        <v/>
      </c>
      <c r="G836" s="9" t="str">
        <f t="array" ref="G836">IFERROR(INDEX(Data!D:D, MATCH($E836, Data!$B:$B, 0)), "")</f>
        <v/>
      </c>
      <c r="H836" s="9" t="str">
        <f t="array" ref="H836">IFERROR(INDEX(Data!E:E, MATCH($E836, Data!$B:$B, 0)), "")</f>
        <v/>
      </c>
      <c r="I836" s="9" t="str">
        <f t="shared" si="1"/>
        <v/>
      </c>
      <c r="J836" s="9" t="str">
        <f t="shared" si="2"/>
        <v>#REF!</v>
      </c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12">
        <v>835.0</v>
      </c>
      <c r="B837" s="13"/>
      <c r="C837" s="9" t="str">
        <f t="array" ref="C837">IFERROR(INDEX(Data!F:F, MATCH($E837, Data!$B:$B, 0)), "")</f>
        <v/>
      </c>
      <c r="D837" s="9" t="str">
        <f t="array" ref="D837">IFERROR(INDEX(Data!A:A, MATCH($E837, Data!$B:$B, 0)), "")</f>
        <v/>
      </c>
      <c r="E837" s="9" t="str">
        <f>LARGE(Data!$B$2:$B1000,A837 )</f>
        <v>#NUM!</v>
      </c>
      <c r="F837" s="9" t="str">
        <f t="array" ref="F837">IFERROR(INDEX(Data!C:C, MATCH($E837, Data!$B:$B, 0)), "")</f>
        <v/>
      </c>
      <c r="G837" s="9" t="str">
        <f t="array" ref="G837">IFERROR(INDEX(Data!D:D, MATCH($E837, Data!$B:$B, 0)), "")</f>
        <v/>
      </c>
      <c r="H837" s="9" t="str">
        <f t="array" ref="H837">IFERROR(INDEX(Data!E:E, MATCH($E837, Data!$B:$B, 0)), "")</f>
        <v/>
      </c>
      <c r="I837" s="9" t="str">
        <f t="shared" si="1"/>
        <v/>
      </c>
      <c r="J837" s="9" t="str">
        <f t="shared" si="2"/>
        <v>#REF!</v>
      </c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12">
        <v>836.0</v>
      </c>
      <c r="B838" s="13"/>
      <c r="C838" s="9" t="str">
        <f t="array" ref="C838">IFERROR(INDEX(Data!F:F, MATCH($E838, Data!$B:$B, 0)), "")</f>
        <v/>
      </c>
      <c r="D838" s="9" t="str">
        <f t="array" ref="D838">IFERROR(INDEX(Data!A:A, MATCH($E838, Data!$B:$B, 0)), "")</f>
        <v/>
      </c>
      <c r="E838" s="9" t="str">
        <f>LARGE(Data!$B$2:$B1000,A838 )</f>
        <v>#NUM!</v>
      </c>
      <c r="F838" s="9" t="str">
        <f t="array" ref="F838">IFERROR(INDEX(Data!C:C, MATCH($E838, Data!$B:$B, 0)), "")</f>
        <v/>
      </c>
      <c r="G838" s="9" t="str">
        <f t="array" ref="G838">IFERROR(INDEX(Data!D:D, MATCH($E838, Data!$B:$B, 0)), "")</f>
        <v/>
      </c>
      <c r="H838" s="9" t="str">
        <f t="array" ref="H838">IFERROR(INDEX(Data!E:E, MATCH($E838, Data!$B:$B, 0)), "")</f>
        <v/>
      </c>
      <c r="I838" s="9" t="str">
        <f t="shared" si="1"/>
        <v/>
      </c>
      <c r="J838" s="9" t="str">
        <f t="shared" si="2"/>
        <v>#REF!</v>
      </c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12">
        <v>837.0</v>
      </c>
      <c r="B839" s="13"/>
      <c r="C839" s="9" t="str">
        <f t="array" ref="C839">IFERROR(INDEX(Data!F:F, MATCH($E839, Data!$B:$B, 0)), "")</f>
        <v/>
      </c>
      <c r="D839" s="9" t="str">
        <f t="array" ref="D839">IFERROR(INDEX(Data!A:A, MATCH($E839, Data!$B:$B, 0)), "")</f>
        <v/>
      </c>
      <c r="E839" s="9" t="str">
        <f>LARGE(Data!$B$2:$B1000,A839 )</f>
        <v>#NUM!</v>
      </c>
      <c r="F839" s="9" t="str">
        <f t="array" ref="F839">IFERROR(INDEX(Data!C:C, MATCH($E839, Data!$B:$B, 0)), "")</f>
        <v/>
      </c>
      <c r="G839" s="9" t="str">
        <f t="array" ref="G839">IFERROR(INDEX(Data!D:D, MATCH($E839, Data!$B:$B, 0)), "")</f>
        <v/>
      </c>
      <c r="H839" s="9" t="str">
        <f t="array" ref="H839">IFERROR(INDEX(Data!E:E, MATCH($E839, Data!$B:$B, 0)), "")</f>
        <v/>
      </c>
      <c r="I839" s="9" t="str">
        <f t="shared" si="1"/>
        <v/>
      </c>
      <c r="J839" s="9" t="str">
        <f t="shared" si="2"/>
        <v>#REF!</v>
      </c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12">
        <v>838.0</v>
      </c>
      <c r="B840" s="13"/>
      <c r="C840" s="9" t="str">
        <f t="array" ref="C840">IFERROR(INDEX(Data!F:F, MATCH($E840, Data!$B:$B, 0)), "")</f>
        <v/>
      </c>
      <c r="D840" s="9" t="str">
        <f t="array" ref="D840">IFERROR(INDEX(Data!A:A, MATCH($E840, Data!$B:$B, 0)), "")</f>
        <v/>
      </c>
      <c r="E840" s="9" t="str">
        <f>LARGE(Data!$B$2:$B1000,A840 )</f>
        <v>#NUM!</v>
      </c>
      <c r="F840" s="9" t="str">
        <f t="array" ref="F840">IFERROR(INDEX(Data!C:C, MATCH($E840, Data!$B:$B, 0)), "")</f>
        <v/>
      </c>
      <c r="G840" s="9" t="str">
        <f t="array" ref="G840">IFERROR(INDEX(Data!D:D, MATCH($E840, Data!$B:$B, 0)), "")</f>
        <v/>
      </c>
      <c r="H840" s="9" t="str">
        <f t="array" ref="H840">IFERROR(INDEX(Data!E:E, MATCH($E840, Data!$B:$B, 0)), "")</f>
        <v/>
      </c>
      <c r="I840" s="9" t="str">
        <f t="shared" si="1"/>
        <v/>
      </c>
      <c r="J840" s="9" t="str">
        <f t="shared" si="2"/>
        <v>#REF!</v>
      </c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12">
        <v>839.0</v>
      </c>
      <c r="B841" s="13"/>
      <c r="C841" s="9" t="str">
        <f t="array" ref="C841">IFERROR(INDEX(Data!F:F, MATCH($E841, Data!$B:$B, 0)), "")</f>
        <v/>
      </c>
      <c r="D841" s="9" t="str">
        <f t="array" ref="D841">IFERROR(INDEX(Data!A:A, MATCH($E841, Data!$B:$B, 0)), "")</f>
        <v/>
      </c>
      <c r="E841" s="9" t="str">
        <f>LARGE(Data!$B$2:$B1000,A841 )</f>
        <v>#NUM!</v>
      </c>
      <c r="F841" s="9" t="str">
        <f t="array" ref="F841">IFERROR(INDEX(Data!C:C, MATCH($E841, Data!$B:$B, 0)), "")</f>
        <v/>
      </c>
      <c r="G841" s="9" t="str">
        <f t="array" ref="G841">IFERROR(INDEX(Data!D:D, MATCH($E841, Data!$B:$B, 0)), "")</f>
        <v/>
      </c>
      <c r="H841" s="9" t="str">
        <f t="array" ref="H841">IFERROR(INDEX(Data!E:E, MATCH($E841, Data!$B:$B, 0)), "")</f>
        <v/>
      </c>
      <c r="I841" s="9" t="str">
        <f t="shared" si="1"/>
        <v/>
      </c>
      <c r="J841" s="9" t="str">
        <f t="shared" si="2"/>
        <v>#REF!</v>
      </c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12">
        <v>840.0</v>
      </c>
      <c r="B842" s="13"/>
      <c r="C842" s="9" t="str">
        <f t="array" ref="C842">IFERROR(INDEX(Data!F:F, MATCH($E842, Data!$B:$B, 0)), "")</f>
        <v/>
      </c>
      <c r="D842" s="9" t="str">
        <f t="array" ref="D842">IFERROR(INDEX(Data!A:A, MATCH($E842, Data!$B:$B, 0)), "")</f>
        <v/>
      </c>
      <c r="E842" s="9" t="str">
        <f>LARGE(Data!$B$2:$B1000,A842 )</f>
        <v>#NUM!</v>
      </c>
      <c r="F842" s="9" t="str">
        <f t="array" ref="F842">IFERROR(INDEX(Data!C:C, MATCH($E842, Data!$B:$B, 0)), "")</f>
        <v/>
      </c>
      <c r="G842" s="9" t="str">
        <f t="array" ref="G842">IFERROR(INDEX(Data!D:D, MATCH($E842, Data!$B:$B, 0)), "")</f>
        <v/>
      </c>
      <c r="H842" s="9" t="str">
        <f t="array" ref="H842">IFERROR(INDEX(Data!E:E, MATCH($E842, Data!$B:$B, 0)), "")</f>
        <v/>
      </c>
      <c r="I842" s="9" t="str">
        <f t="shared" si="1"/>
        <v/>
      </c>
      <c r="J842" s="9" t="str">
        <f t="shared" si="2"/>
        <v>#REF!</v>
      </c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12">
        <v>841.0</v>
      </c>
      <c r="B843" s="13"/>
      <c r="C843" s="9" t="str">
        <f t="array" ref="C843">IFERROR(INDEX(Data!F:F, MATCH($E843, Data!$B:$B, 0)), "")</f>
        <v/>
      </c>
      <c r="D843" s="9" t="str">
        <f t="array" ref="D843">IFERROR(INDEX(Data!A:A, MATCH($E843, Data!$B:$B, 0)), "")</f>
        <v/>
      </c>
      <c r="E843" s="9" t="str">
        <f>LARGE(Data!$B$2:$B1000,A843 )</f>
        <v>#NUM!</v>
      </c>
      <c r="F843" s="9" t="str">
        <f t="array" ref="F843">IFERROR(INDEX(Data!C:C, MATCH($E843, Data!$B:$B, 0)), "")</f>
        <v/>
      </c>
      <c r="G843" s="9" t="str">
        <f t="array" ref="G843">IFERROR(INDEX(Data!D:D, MATCH($E843, Data!$B:$B, 0)), "")</f>
        <v/>
      </c>
      <c r="H843" s="9" t="str">
        <f t="array" ref="H843">IFERROR(INDEX(Data!E:E, MATCH($E843, Data!$B:$B, 0)), "")</f>
        <v/>
      </c>
      <c r="I843" s="9" t="str">
        <f t="shared" si="1"/>
        <v/>
      </c>
      <c r="J843" s="9" t="str">
        <f t="shared" si="2"/>
        <v>#REF!</v>
      </c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12">
        <v>842.0</v>
      </c>
      <c r="B844" s="13"/>
      <c r="C844" s="9" t="str">
        <f t="array" ref="C844">IFERROR(INDEX(Data!F:F, MATCH($E844, Data!$B:$B, 0)), "")</f>
        <v/>
      </c>
      <c r="D844" s="9" t="str">
        <f t="array" ref="D844">IFERROR(INDEX(Data!A:A, MATCH($E844, Data!$B:$B, 0)), "")</f>
        <v/>
      </c>
      <c r="E844" s="9" t="str">
        <f>LARGE(Data!$B$2:$B1000,A844 )</f>
        <v>#NUM!</v>
      </c>
      <c r="F844" s="9" t="str">
        <f t="array" ref="F844">IFERROR(INDEX(Data!C:C, MATCH($E844, Data!$B:$B, 0)), "")</f>
        <v/>
      </c>
      <c r="G844" s="9" t="str">
        <f t="array" ref="G844">IFERROR(INDEX(Data!D:D, MATCH($E844, Data!$B:$B, 0)), "")</f>
        <v/>
      </c>
      <c r="H844" s="9" t="str">
        <f t="array" ref="H844">IFERROR(INDEX(Data!E:E, MATCH($E844, Data!$B:$B, 0)), "")</f>
        <v/>
      </c>
      <c r="I844" s="9" t="str">
        <f t="shared" si="1"/>
        <v/>
      </c>
      <c r="J844" s="9" t="str">
        <f t="shared" si="2"/>
        <v>#REF!</v>
      </c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12">
        <v>843.0</v>
      </c>
      <c r="B845" s="13"/>
      <c r="C845" s="9" t="str">
        <f t="array" ref="C845">IFERROR(INDEX(Data!F:F, MATCH($E845, Data!$B:$B, 0)), "")</f>
        <v/>
      </c>
      <c r="D845" s="9" t="str">
        <f t="array" ref="D845">IFERROR(INDEX(Data!A:A, MATCH($E845, Data!$B:$B, 0)), "")</f>
        <v/>
      </c>
      <c r="E845" s="9" t="str">
        <f>LARGE(Data!$B$2:$B1000,A845 )</f>
        <v>#NUM!</v>
      </c>
      <c r="F845" s="9" t="str">
        <f t="array" ref="F845">IFERROR(INDEX(Data!C:C, MATCH($E845, Data!$B:$B, 0)), "")</f>
        <v/>
      </c>
      <c r="G845" s="9" t="str">
        <f t="array" ref="G845">IFERROR(INDEX(Data!D:D, MATCH($E845, Data!$B:$B, 0)), "")</f>
        <v/>
      </c>
      <c r="H845" s="9" t="str">
        <f t="array" ref="H845">IFERROR(INDEX(Data!E:E, MATCH($E845, Data!$B:$B, 0)), "")</f>
        <v/>
      </c>
      <c r="I845" s="9" t="str">
        <f t="shared" si="1"/>
        <v/>
      </c>
      <c r="J845" s="9" t="str">
        <f t="shared" si="2"/>
        <v>#REF!</v>
      </c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12">
        <v>844.0</v>
      </c>
      <c r="B846" s="13"/>
      <c r="C846" s="9" t="str">
        <f t="array" ref="C846">IFERROR(INDEX(Data!F:F, MATCH($E846, Data!$B:$B, 0)), "")</f>
        <v/>
      </c>
      <c r="D846" s="9" t="str">
        <f t="array" ref="D846">IFERROR(INDEX(Data!A:A, MATCH($E846, Data!$B:$B, 0)), "")</f>
        <v/>
      </c>
      <c r="E846" s="9" t="str">
        <f>LARGE(Data!$B$2:$B1000,A846 )</f>
        <v>#NUM!</v>
      </c>
      <c r="F846" s="9" t="str">
        <f t="array" ref="F846">IFERROR(INDEX(Data!C:C, MATCH($E846, Data!$B:$B, 0)), "")</f>
        <v/>
      </c>
      <c r="G846" s="9" t="str">
        <f t="array" ref="G846">IFERROR(INDEX(Data!D:D, MATCH($E846, Data!$B:$B, 0)), "")</f>
        <v/>
      </c>
      <c r="H846" s="9" t="str">
        <f t="array" ref="H846">IFERROR(INDEX(Data!E:E, MATCH($E846, Data!$B:$B, 0)), "")</f>
        <v/>
      </c>
      <c r="I846" s="9" t="str">
        <f t="shared" si="1"/>
        <v/>
      </c>
      <c r="J846" s="9" t="str">
        <f t="shared" si="2"/>
        <v>#REF!</v>
      </c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12">
        <v>845.0</v>
      </c>
      <c r="B847" s="13"/>
      <c r="C847" s="9" t="str">
        <f t="array" ref="C847">IFERROR(INDEX(Data!F:F, MATCH($E847, Data!$B:$B, 0)), "")</f>
        <v/>
      </c>
      <c r="D847" s="9" t="str">
        <f t="array" ref="D847">IFERROR(INDEX(Data!A:A, MATCH($E847, Data!$B:$B, 0)), "")</f>
        <v/>
      </c>
      <c r="E847" s="9" t="str">
        <f>LARGE(Data!$B$2:$B1000,A847 )</f>
        <v>#NUM!</v>
      </c>
      <c r="F847" s="9" t="str">
        <f t="array" ref="F847">IFERROR(INDEX(Data!C:C, MATCH($E847, Data!$B:$B, 0)), "")</f>
        <v/>
      </c>
      <c r="G847" s="9" t="str">
        <f t="array" ref="G847">IFERROR(INDEX(Data!D:D, MATCH($E847, Data!$B:$B, 0)), "")</f>
        <v/>
      </c>
      <c r="H847" s="9" t="str">
        <f t="array" ref="H847">IFERROR(INDEX(Data!E:E, MATCH($E847, Data!$B:$B, 0)), "")</f>
        <v/>
      </c>
      <c r="I847" s="9" t="str">
        <f t="shared" si="1"/>
        <v/>
      </c>
      <c r="J847" s="9" t="str">
        <f t="shared" si="2"/>
        <v>#REF!</v>
      </c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12">
        <v>846.0</v>
      </c>
      <c r="B848" s="13"/>
      <c r="C848" s="9" t="str">
        <f t="array" ref="C848">IFERROR(INDEX(Data!F:F, MATCH($E848, Data!$B:$B, 0)), "")</f>
        <v/>
      </c>
      <c r="D848" s="9" t="str">
        <f t="array" ref="D848">IFERROR(INDEX(Data!A:A, MATCH($E848, Data!$B:$B, 0)), "")</f>
        <v/>
      </c>
      <c r="E848" s="9" t="str">
        <f>LARGE(Data!$B$2:$B1000,A848 )</f>
        <v>#NUM!</v>
      </c>
      <c r="F848" s="9" t="str">
        <f t="array" ref="F848">IFERROR(INDEX(Data!C:C, MATCH($E848, Data!$B:$B, 0)), "")</f>
        <v/>
      </c>
      <c r="G848" s="9" t="str">
        <f t="array" ref="G848">IFERROR(INDEX(Data!D:D, MATCH($E848, Data!$B:$B, 0)), "")</f>
        <v/>
      </c>
      <c r="H848" s="9" t="str">
        <f t="array" ref="H848">IFERROR(INDEX(Data!E:E, MATCH($E848, Data!$B:$B, 0)), "")</f>
        <v/>
      </c>
      <c r="I848" s="9" t="str">
        <f t="shared" si="1"/>
        <v/>
      </c>
      <c r="J848" s="9" t="str">
        <f t="shared" si="2"/>
        <v>#REF!</v>
      </c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12">
        <v>847.0</v>
      </c>
      <c r="B849" s="13"/>
      <c r="C849" s="9" t="str">
        <f t="array" ref="C849">IFERROR(INDEX(Data!F:F, MATCH($E849, Data!$B:$B, 0)), "")</f>
        <v/>
      </c>
      <c r="D849" s="9" t="str">
        <f t="array" ref="D849">IFERROR(INDEX(Data!A:A, MATCH($E849, Data!$B:$B, 0)), "")</f>
        <v/>
      </c>
      <c r="E849" s="9" t="str">
        <f>LARGE(Data!$B$2:$B1000,A849 )</f>
        <v>#NUM!</v>
      </c>
      <c r="F849" s="9" t="str">
        <f t="array" ref="F849">IFERROR(INDEX(Data!C:C, MATCH($E849, Data!$B:$B, 0)), "")</f>
        <v/>
      </c>
      <c r="G849" s="9" t="str">
        <f t="array" ref="G849">IFERROR(INDEX(Data!D:D, MATCH($E849, Data!$B:$B, 0)), "")</f>
        <v/>
      </c>
      <c r="H849" s="9" t="str">
        <f t="array" ref="H849">IFERROR(INDEX(Data!E:E, MATCH($E849, Data!$B:$B, 0)), "")</f>
        <v/>
      </c>
      <c r="I849" s="9" t="str">
        <f t="shared" si="1"/>
        <v/>
      </c>
      <c r="J849" s="9" t="str">
        <f t="shared" si="2"/>
        <v>#REF!</v>
      </c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12">
        <v>848.0</v>
      </c>
      <c r="B850" s="13"/>
      <c r="C850" s="9" t="str">
        <f t="array" ref="C850">IFERROR(INDEX(Data!F:F, MATCH($E850, Data!$B:$B, 0)), "")</f>
        <v/>
      </c>
      <c r="D850" s="9" t="str">
        <f t="array" ref="D850">IFERROR(INDEX(Data!A:A, MATCH($E850, Data!$B:$B, 0)), "")</f>
        <v/>
      </c>
      <c r="E850" s="9" t="str">
        <f>LARGE(Data!$B$2:$B1000,A850 )</f>
        <v>#NUM!</v>
      </c>
      <c r="F850" s="9" t="str">
        <f t="array" ref="F850">IFERROR(INDEX(Data!C:C, MATCH($E850, Data!$B:$B, 0)), "")</f>
        <v/>
      </c>
      <c r="G850" s="9" t="str">
        <f t="array" ref="G850">IFERROR(INDEX(Data!D:D, MATCH($E850, Data!$B:$B, 0)), "")</f>
        <v/>
      </c>
      <c r="H850" s="9" t="str">
        <f t="array" ref="H850">IFERROR(INDEX(Data!E:E, MATCH($E850, Data!$B:$B, 0)), "")</f>
        <v/>
      </c>
      <c r="I850" s="9" t="str">
        <f t="shared" si="1"/>
        <v/>
      </c>
      <c r="J850" s="9" t="str">
        <f t="shared" si="2"/>
        <v>#REF!</v>
      </c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12">
        <v>849.0</v>
      </c>
      <c r="B851" s="13"/>
      <c r="C851" s="9" t="str">
        <f t="array" ref="C851">IFERROR(INDEX(Data!F:F, MATCH($E851, Data!$B:$B, 0)), "")</f>
        <v/>
      </c>
      <c r="D851" s="9" t="str">
        <f t="array" ref="D851">IFERROR(INDEX(Data!A:A, MATCH($E851, Data!$B:$B, 0)), "")</f>
        <v/>
      </c>
      <c r="E851" s="9" t="str">
        <f>LARGE(Data!$B$2:$B1000,A851 )</f>
        <v>#NUM!</v>
      </c>
      <c r="F851" s="9" t="str">
        <f t="array" ref="F851">IFERROR(INDEX(Data!C:C, MATCH($E851, Data!$B:$B, 0)), "")</f>
        <v/>
      </c>
      <c r="G851" s="9" t="str">
        <f t="array" ref="G851">IFERROR(INDEX(Data!D:D, MATCH($E851, Data!$B:$B, 0)), "")</f>
        <v/>
      </c>
      <c r="H851" s="9" t="str">
        <f t="array" ref="H851">IFERROR(INDEX(Data!E:E, MATCH($E851, Data!$B:$B, 0)), "")</f>
        <v/>
      </c>
      <c r="I851" s="9" t="str">
        <f t="shared" si="1"/>
        <v/>
      </c>
      <c r="J851" s="9" t="str">
        <f t="shared" si="2"/>
        <v>#REF!</v>
      </c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12">
        <v>850.0</v>
      </c>
      <c r="B852" s="13"/>
      <c r="C852" s="9" t="str">
        <f t="array" ref="C852">IFERROR(INDEX(Data!F:F, MATCH($E852, Data!$B:$B, 0)), "")</f>
        <v/>
      </c>
      <c r="D852" s="9" t="str">
        <f t="array" ref="D852">IFERROR(INDEX(Data!A:A, MATCH($E852, Data!$B:$B, 0)), "")</f>
        <v/>
      </c>
      <c r="E852" s="9" t="str">
        <f>LARGE(Data!$B$2:$B1000,A852 )</f>
        <v>#NUM!</v>
      </c>
      <c r="F852" s="9" t="str">
        <f t="array" ref="F852">IFERROR(INDEX(Data!C:C, MATCH($E852, Data!$B:$B, 0)), "")</f>
        <v/>
      </c>
      <c r="G852" s="9" t="str">
        <f t="array" ref="G852">IFERROR(INDEX(Data!D:D, MATCH($E852, Data!$B:$B, 0)), "")</f>
        <v/>
      </c>
      <c r="H852" s="9" t="str">
        <f t="array" ref="H852">IFERROR(INDEX(Data!E:E, MATCH($E852, Data!$B:$B, 0)), "")</f>
        <v/>
      </c>
      <c r="I852" s="9" t="str">
        <f t="shared" si="1"/>
        <v/>
      </c>
      <c r="J852" s="9" t="str">
        <f t="shared" si="2"/>
        <v>#REF!</v>
      </c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12">
        <v>851.0</v>
      </c>
      <c r="B853" s="13"/>
      <c r="C853" s="9" t="str">
        <f t="array" ref="C853">IFERROR(INDEX(Data!F:F, MATCH($E853, Data!$B:$B, 0)), "")</f>
        <v/>
      </c>
      <c r="D853" s="9" t="str">
        <f t="array" ref="D853">IFERROR(INDEX(Data!A:A, MATCH($E853, Data!$B:$B, 0)), "")</f>
        <v/>
      </c>
      <c r="E853" s="9" t="str">
        <f>LARGE(Data!$B$2:$B1000,A853 )</f>
        <v>#NUM!</v>
      </c>
      <c r="F853" s="9" t="str">
        <f t="array" ref="F853">IFERROR(INDEX(Data!C:C, MATCH($E853, Data!$B:$B, 0)), "")</f>
        <v/>
      </c>
      <c r="G853" s="9" t="str">
        <f t="array" ref="G853">IFERROR(INDEX(Data!D:D, MATCH($E853, Data!$B:$B, 0)), "")</f>
        <v/>
      </c>
      <c r="H853" s="9" t="str">
        <f t="array" ref="H853">IFERROR(INDEX(Data!E:E, MATCH($E853, Data!$B:$B, 0)), "")</f>
        <v/>
      </c>
      <c r="I853" s="9" t="str">
        <f t="shared" si="1"/>
        <v/>
      </c>
      <c r="J853" s="9" t="str">
        <f t="shared" si="2"/>
        <v>#REF!</v>
      </c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12">
        <v>852.0</v>
      </c>
      <c r="B854" s="13"/>
      <c r="C854" s="9" t="str">
        <f t="array" ref="C854">IFERROR(INDEX(Data!F:F, MATCH($E854, Data!$B:$B, 0)), "")</f>
        <v/>
      </c>
      <c r="D854" s="9" t="str">
        <f t="array" ref="D854">IFERROR(INDEX(Data!A:A, MATCH($E854, Data!$B:$B, 0)), "")</f>
        <v/>
      </c>
      <c r="E854" s="9" t="str">
        <f>LARGE(Data!$B$2:$B1000,A854 )</f>
        <v>#NUM!</v>
      </c>
      <c r="F854" s="9" t="str">
        <f t="array" ref="F854">IFERROR(INDEX(Data!C:C, MATCH($E854, Data!$B:$B, 0)), "")</f>
        <v/>
      </c>
      <c r="G854" s="9" t="str">
        <f t="array" ref="G854">IFERROR(INDEX(Data!D:D, MATCH($E854, Data!$B:$B, 0)), "")</f>
        <v/>
      </c>
      <c r="H854" s="9" t="str">
        <f t="array" ref="H854">IFERROR(INDEX(Data!E:E, MATCH($E854, Data!$B:$B, 0)), "")</f>
        <v/>
      </c>
      <c r="I854" s="9" t="str">
        <f t="shared" si="1"/>
        <v/>
      </c>
      <c r="J854" s="9" t="str">
        <f t="shared" si="2"/>
        <v>#REF!</v>
      </c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12">
        <v>853.0</v>
      </c>
      <c r="B855" s="13"/>
      <c r="C855" s="9" t="str">
        <f t="array" ref="C855">IFERROR(INDEX(Data!F:F, MATCH($E855, Data!$B:$B, 0)), "")</f>
        <v/>
      </c>
      <c r="D855" s="9" t="str">
        <f t="array" ref="D855">IFERROR(INDEX(Data!A:A, MATCH($E855, Data!$B:$B, 0)), "")</f>
        <v/>
      </c>
      <c r="E855" s="9" t="str">
        <f>LARGE(Data!$B$2:$B1000,A855 )</f>
        <v>#NUM!</v>
      </c>
      <c r="F855" s="9" t="str">
        <f t="array" ref="F855">IFERROR(INDEX(Data!C:C, MATCH($E855, Data!$B:$B, 0)), "")</f>
        <v/>
      </c>
      <c r="G855" s="9" t="str">
        <f t="array" ref="G855">IFERROR(INDEX(Data!D:D, MATCH($E855, Data!$B:$B, 0)), "")</f>
        <v/>
      </c>
      <c r="H855" s="9" t="str">
        <f t="array" ref="H855">IFERROR(INDEX(Data!E:E, MATCH($E855, Data!$B:$B, 0)), "")</f>
        <v/>
      </c>
      <c r="I855" s="9" t="str">
        <f t="shared" si="1"/>
        <v/>
      </c>
      <c r="J855" s="9" t="str">
        <f t="shared" si="2"/>
        <v>#REF!</v>
      </c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12">
        <v>854.0</v>
      </c>
      <c r="B856" s="13"/>
      <c r="C856" s="9" t="str">
        <f t="array" ref="C856">IFERROR(INDEX(Data!F:F, MATCH($E856, Data!$B:$B, 0)), "")</f>
        <v/>
      </c>
      <c r="D856" s="9" t="str">
        <f t="array" ref="D856">IFERROR(INDEX(Data!A:A, MATCH($E856, Data!$B:$B, 0)), "")</f>
        <v/>
      </c>
      <c r="E856" s="9" t="str">
        <f>LARGE(Data!$B$2:$B1000,A856 )</f>
        <v>#NUM!</v>
      </c>
      <c r="F856" s="9" t="str">
        <f t="array" ref="F856">IFERROR(INDEX(Data!C:C, MATCH($E856, Data!$B:$B, 0)), "")</f>
        <v/>
      </c>
      <c r="G856" s="9" t="str">
        <f t="array" ref="G856">IFERROR(INDEX(Data!D:D, MATCH($E856, Data!$B:$B, 0)), "")</f>
        <v/>
      </c>
      <c r="H856" s="9" t="str">
        <f t="array" ref="H856">IFERROR(INDEX(Data!E:E, MATCH($E856, Data!$B:$B, 0)), "")</f>
        <v/>
      </c>
      <c r="I856" s="9" t="str">
        <f t="shared" si="1"/>
        <v/>
      </c>
      <c r="J856" s="9" t="str">
        <f t="shared" si="2"/>
        <v>#REF!</v>
      </c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12">
        <v>855.0</v>
      </c>
      <c r="B857" s="13"/>
      <c r="C857" s="9" t="str">
        <f t="array" ref="C857">IFERROR(INDEX(Data!F:F, MATCH($E857, Data!$B:$B, 0)), "")</f>
        <v/>
      </c>
      <c r="D857" s="9" t="str">
        <f t="array" ref="D857">IFERROR(INDEX(Data!A:A, MATCH($E857, Data!$B:$B, 0)), "")</f>
        <v/>
      </c>
      <c r="E857" s="9" t="str">
        <f>LARGE(Data!$B$2:$B1000,A857 )</f>
        <v>#NUM!</v>
      </c>
      <c r="F857" s="9" t="str">
        <f t="array" ref="F857">IFERROR(INDEX(Data!C:C, MATCH($E857, Data!$B:$B, 0)), "")</f>
        <v/>
      </c>
      <c r="G857" s="9" t="str">
        <f t="array" ref="G857">IFERROR(INDEX(Data!D:D, MATCH($E857, Data!$B:$B, 0)), "")</f>
        <v/>
      </c>
      <c r="H857" s="9" t="str">
        <f t="array" ref="H857">IFERROR(INDEX(Data!E:E, MATCH($E857, Data!$B:$B, 0)), "")</f>
        <v/>
      </c>
      <c r="I857" s="9" t="str">
        <f t="shared" si="1"/>
        <v/>
      </c>
      <c r="J857" s="9" t="str">
        <f t="shared" si="2"/>
        <v>#REF!</v>
      </c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12">
        <v>856.0</v>
      </c>
      <c r="B858" s="13"/>
      <c r="C858" s="9" t="str">
        <f t="array" ref="C858">IFERROR(INDEX(Data!F:F, MATCH($E858, Data!$B:$B, 0)), "")</f>
        <v/>
      </c>
      <c r="D858" s="9" t="str">
        <f t="array" ref="D858">IFERROR(INDEX(Data!A:A, MATCH($E858, Data!$B:$B, 0)), "")</f>
        <v/>
      </c>
      <c r="E858" s="9" t="str">
        <f>LARGE(Data!$B$2:$B1000,A858 )</f>
        <v>#NUM!</v>
      </c>
      <c r="F858" s="9" t="str">
        <f t="array" ref="F858">IFERROR(INDEX(Data!C:C, MATCH($E858, Data!$B:$B, 0)), "")</f>
        <v/>
      </c>
      <c r="G858" s="9" t="str">
        <f t="array" ref="G858">IFERROR(INDEX(Data!D:D, MATCH($E858, Data!$B:$B, 0)), "")</f>
        <v/>
      </c>
      <c r="H858" s="9" t="str">
        <f t="array" ref="H858">IFERROR(INDEX(Data!E:E, MATCH($E858, Data!$B:$B, 0)), "")</f>
        <v/>
      </c>
      <c r="I858" s="9" t="str">
        <f t="shared" si="1"/>
        <v/>
      </c>
      <c r="J858" s="9" t="str">
        <f t="shared" si="2"/>
        <v>#REF!</v>
      </c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12">
        <v>857.0</v>
      </c>
      <c r="B859" s="13"/>
      <c r="C859" s="9" t="str">
        <f t="array" ref="C859">IFERROR(INDEX(Data!F:F, MATCH($E859, Data!$B:$B, 0)), "")</f>
        <v/>
      </c>
      <c r="D859" s="9" t="str">
        <f t="array" ref="D859">IFERROR(INDEX(Data!A:A, MATCH($E859, Data!$B:$B, 0)), "")</f>
        <v/>
      </c>
      <c r="E859" s="9" t="str">
        <f>LARGE(Data!$B$2:$B1000,A859 )</f>
        <v>#NUM!</v>
      </c>
      <c r="F859" s="9" t="str">
        <f t="array" ref="F859">IFERROR(INDEX(Data!C:C, MATCH($E859, Data!$B:$B, 0)), "")</f>
        <v/>
      </c>
      <c r="G859" s="9" t="str">
        <f t="array" ref="G859">IFERROR(INDEX(Data!D:D, MATCH($E859, Data!$B:$B, 0)), "")</f>
        <v/>
      </c>
      <c r="H859" s="9" t="str">
        <f t="array" ref="H859">IFERROR(INDEX(Data!E:E, MATCH($E859, Data!$B:$B, 0)), "")</f>
        <v/>
      </c>
      <c r="I859" s="9" t="str">
        <f t="shared" si="1"/>
        <v/>
      </c>
      <c r="J859" s="9" t="str">
        <f t="shared" si="2"/>
        <v>#REF!</v>
      </c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12">
        <v>858.0</v>
      </c>
      <c r="B860" s="13"/>
      <c r="C860" s="9" t="str">
        <f t="array" ref="C860">IFERROR(INDEX(Data!F:F, MATCH($E860, Data!$B:$B, 0)), "")</f>
        <v/>
      </c>
      <c r="D860" s="9" t="str">
        <f t="array" ref="D860">IFERROR(INDEX(Data!A:A, MATCH($E860, Data!$B:$B, 0)), "")</f>
        <v/>
      </c>
      <c r="E860" s="9" t="str">
        <f>LARGE(Data!$B$2:$B1000,A860 )</f>
        <v>#NUM!</v>
      </c>
      <c r="F860" s="9" t="str">
        <f t="array" ref="F860">IFERROR(INDEX(Data!C:C, MATCH($E860, Data!$B:$B, 0)), "")</f>
        <v/>
      </c>
      <c r="G860" s="9" t="str">
        <f t="array" ref="G860">IFERROR(INDEX(Data!D:D, MATCH($E860, Data!$B:$B, 0)), "")</f>
        <v/>
      </c>
      <c r="H860" s="9" t="str">
        <f t="array" ref="H860">IFERROR(INDEX(Data!E:E, MATCH($E860, Data!$B:$B, 0)), "")</f>
        <v/>
      </c>
      <c r="I860" s="9" t="str">
        <f t="shared" si="1"/>
        <v/>
      </c>
      <c r="J860" s="9" t="str">
        <f t="shared" si="2"/>
        <v>#REF!</v>
      </c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12">
        <v>859.0</v>
      </c>
      <c r="B861" s="13"/>
      <c r="C861" s="9" t="str">
        <f t="array" ref="C861">IFERROR(INDEX(Data!F:F, MATCH($E861, Data!$B:$B, 0)), "")</f>
        <v/>
      </c>
      <c r="D861" s="9" t="str">
        <f t="array" ref="D861">IFERROR(INDEX(Data!A:A, MATCH($E861, Data!$B:$B, 0)), "")</f>
        <v/>
      </c>
      <c r="E861" s="9" t="str">
        <f>LARGE(Data!$B$2:$B1000,A861 )</f>
        <v>#NUM!</v>
      </c>
      <c r="F861" s="9" t="str">
        <f t="array" ref="F861">IFERROR(INDEX(Data!C:C, MATCH($E861, Data!$B:$B, 0)), "")</f>
        <v/>
      </c>
      <c r="G861" s="9" t="str">
        <f t="array" ref="G861">IFERROR(INDEX(Data!D:D, MATCH($E861, Data!$B:$B, 0)), "")</f>
        <v/>
      </c>
      <c r="H861" s="9" t="str">
        <f t="array" ref="H861">IFERROR(INDEX(Data!E:E, MATCH($E861, Data!$B:$B, 0)), "")</f>
        <v/>
      </c>
      <c r="I861" s="9" t="str">
        <f t="shared" si="1"/>
        <v/>
      </c>
      <c r="J861" s="9" t="str">
        <f t="shared" si="2"/>
        <v>#REF!</v>
      </c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12">
        <v>860.0</v>
      </c>
      <c r="B862" s="13"/>
      <c r="C862" s="9" t="str">
        <f t="array" ref="C862">IFERROR(INDEX(Data!F:F, MATCH($E862, Data!$B:$B, 0)), "")</f>
        <v/>
      </c>
      <c r="D862" s="9" t="str">
        <f t="array" ref="D862">IFERROR(INDEX(Data!A:A, MATCH($E862, Data!$B:$B, 0)), "")</f>
        <v/>
      </c>
      <c r="E862" s="9" t="str">
        <f>LARGE(Data!$B$2:$B1000,A862 )</f>
        <v>#NUM!</v>
      </c>
      <c r="F862" s="9" t="str">
        <f t="array" ref="F862">IFERROR(INDEX(Data!C:C, MATCH($E862, Data!$B:$B, 0)), "")</f>
        <v/>
      </c>
      <c r="G862" s="9" t="str">
        <f t="array" ref="G862">IFERROR(INDEX(Data!D:D, MATCH($E862, Data!$B:$B, 0)), "")</f>
        <v/>
      </c>
      <c r="H862" s="9" t="str">
        <f t="array" ref="H862">IFERROR(INDEX(Data!E:E, MATCH($E862, Data!$B:$B, 0)), "")</f>
        <v/>
      </c>
      <c r="I862" s="9" t="str">
        <f t="shared" si="1"/>
        <v/>
      </c>
      <c r="J862" s="9" t="str">
        <f t="shared" si="2"/>
        <v>#REF!</v>
      </c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12">
        <v>861.0</v>
      </c>
      <c r="B863" s="13"/>
      <c r="C863" s="9" t="str">
        <f t="array" ref="C863">IFERROR(INDEX(Data!F:F, MATCH($E863, Data!$B:$B, 0)), "")</f>
        <v/>
      </c>
      <c r="D863" s="9" t="str">
        <f t="array" ref="D863">IFERROR(INDEX(Data!A:A, MATCH($E863, Data!$B:$B, 0)), "")</f>
        <v/>
      </c>
      <c r="E863" s="9" t="str">
        <f>LARGE(Data!$B$2:$B1000,A863 )</f>
        <v>#NUM!</v>
      </c>
      <c r="F863" s="9" t="str">
        <f t="array" ref="F863">IFERROR(INDEX(Data!C:C, MATCH($E863, Data!$B:$B, 0)), "")</f>
        <v/>
      </c>
      <c r="G863" s="9" t="str">
        <f t="array" ref="G863">IFERROR(INDEX(Data!D:D, MATCH($E863, Data!$B:$B, 0)), "")</f>
        <v/>
      </c>
      <c r="H863" s="9" t="str">
        <f t="array" ref="H863">IFERROR(INDEX(Data!E:E, MATCH($E863, Data!$B:$B, 0)), "")</f>
        <v/>
      </c>
      <c r="I863" s="9" t="str">
        <f t="shared" si="1"/>
        <v/>
      </c>
      <c r="J863" s="9" t="str">
        <f t="shared" si="2"/>
        <v>#REF!</v>
      </c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12">
        <v>862.0</v>
      </c>
      <c r="B864" s="13"/>
      <c r="C864" s="9" t="str">
        <f t="array" ref="C864">IFERROR(INDEX(Data!F:F, MATCH($E864, Data!$B:$B, 0)), "")</f>
        <v/>
      </c>
      <c r="D864" s="9" t="str">
        <f t="array" ref="D864">IFERROR(INDEX(Data!A:A, MATCH($E864, Data!$B:$B, 0)), "")</f>
        <v/>
      </c>
      <c r="E864" s="9" t="str">
        <f>LARGE(Data!$B$2:$B1000,A864 )</f>
        <v>#NUM!</v>
      </c>
      <c r="F864" s="9" t="str">
        <f t="array" ref="F864">IFERROR(INDEX(Data!C:C, MATCH($E864, Data!$B:$B, 0)), "")</f>
        <v/>
      </c>
      <c r="G864" s="9" t="str">
        <f t="array" ref="G864">IFERROR(INDEX(Data!D:D, MATCH($E864, Data!$B:$B, 0)), "")</f>
        <v/>
      </c>
      <c r="H864" s="9" t="str">
        <f t="array" ref="H864">IFERROR(INDEX(Data!E:E, MATCH($E864, Data!$B:$B, 0)), "")</f>
        <v/>
      </c>
      <c r="I864" s="9" t="str">
        <f t="shared" si="1"/>
        <v/>
      </c>
      <c r="J864" s="9" t="str">
        <f t="shared" si="2"/>
        <v>#REF!</v>
      </c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12">
        <v>863.0</v>
      </c>
      <c r="B865" s="13"/>
      <c r="C865" s="9" t="str">
        <f t="array" ref="C865">IFERROR(INDEX(Data!F:F, MATCH($E865, Data!$B:$B, 0)), "")</f>
        <v/>
      </c>
      <c r="D865" s="9" t="str">
        <f t="array" ref="D865">IFERROR(INDEX(Data!A:A, MATCH($E865, Data!$B:$B, 0)), "")</f>
        <v/>
      </c>
      <c r="E865" s="9" t="str">
        <f>LARGE(Data!$B$2:$B1000,A865 )</f>
        <v>#NUM!</v>
      </c>
      <c r="F865" s="9" t="str">
        <f t="array" ref="F865">IFERROR(INDEX(Data!C:C, MATCH($E865, Data!$B:$B, 0)), "")</f>
        <v/>
      </c>
      <c r="G865" s="9" t="str">
        <f t="array" ref="G865">IFERROR(INDEX(Data!D:D, MATCH($E865, Data!$B:$B, 0)), "")</f>
        <v/>
      </c>
      <c r="H865" s="9" t="str">
        <f t="array" ref="H865">IFERROR(INDEX(Data!E:E, MATCH($E865, Data!$B:$B, 0)), "")</f>
        <v/>
      </c>
      <c r="I865" s="9" t="str">
        <f t="shared" si="1"/>
        <v/>
      </c>
      <c r="J865" s="9" t="str">
        <f t="shared" si="2"/>
        <v>#REF!</v>
      </c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12">
        <v>864.0</v>
      </c>
      <c r="B866" s="13"/>
      <c r="C866" s="9" t="str">
        <f t="array" ref="C866">IFERROR(INDEX(Data!F:F, MATCH($E866, Data!$B:$B, 0)), "")</f>
        <v/>
      </c>
      <c r="D866" s="9" t="str">
        <f t="array" ref="D866">IFERROR(INDEX(Data!A:A, MATCH($E866, Data!$B:$B, 0)), "")</f>
        <v/>
      </c>
      <c r="E866" s="9" t="str">
        <f>LARGE(Data!$B$2:$B1000,A866 )</f>
        <v>#NUM!</v>
      </c>
      <c r="F866" s="9" t="str">
        <f t="array" ref="F866">IFERROR(INDEX(Data!C:C, MATCH($E866, Data!$B:$B, 0)), "")</f>
        <v/>
      </c>
      <c r="G866" s="9" t="str">
        <f t="array" ref="G866">IFERROR(INDEX(Data!D:D, MATCH($E866, Data!$B:$B, 0)), "")</f>
        <v/>
      </c>
      <c r="H866" s="9" t="str">
        <f t="array" ref="H866">IFERROR(INDEX(Data!E:E, MATCH($E866, Data!$B:$B, 0)), "")</f>
        <v/>
      </c>
      <c r="I866" s="9" t="str">
        <f t="shared" si="1"/>
        <v/>
      </c>
      <c r="J866" s="9" t="str">
        <f t="shared" si="2"/>
        <v>#REF!</v>
      </c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12">
        <v>865.0</v>
      </c>
      <c r="B867" s="13"/>
      <c r="C867" s="9" t="str">
        <f t="array" ref="C867">IFERROR(INDEX(Data!F:F, MATCH($E867, Data!$B:$B, 0)), "")</f>
        <v/>
      </c>
      <c r="D867" s="9" t="str">
        <f t="array" ref="D867">IFERROR(INDEX(Data!A:A, MATCH($E867, Data!$B:$B, 0)), "")</f>
        <v/>
      </c>
      <c r="E867" s="9" t="str">
        <f>LARGE(Data!$B$2:$B1000,A867 )</f>
        <v>#NUM!</v>
      </c>
      <c r="F867" s="9" t="str">
        <f t="array" ref="F867">IFERROR(INDEX(Data!C:C, MATCH($E867, Data!$B:$B, 0)), "")</f>
        <v/>
      </c>
      <c r="G867" s="9" t="str">
        <f t="array" ref="G867">IFERROR(INDEX(Data!D:D, MATCH($E867, Data!$B:$B, 0)), "")</f>
        <v/>
      </c>
      <c r="H867" s="9" t="str">
        <f t="array" ref="H867">IFERROR(INDEX(Data!E:E, MATCH($E867, Data!$B:$B, 0)), "")</f>
        <v/>
      </c>
      <c r="I867" s="9" t="str">
        <f t="shared" si="1"/>
        <v/>
      </c>
      <c r="J867" s="9" t="str">
        <f t="shared" si="2"/>
        <v>#REF!</v>
      </c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12">
        <v>866.0</v>
      </c>
      <c r="B868" s="13"/>
      <c r="C868" s="9" t="str">
        <f t="array" ref="C868">IFERROR(INDEX(Data!F:F, MATCH($E868, Data!$B:$B, 0)), "")</f>
        <v/>
      </c>
      <c r="D868" s="9" t="str">
        <f t="array" ref="D868">IFERROR(INDEX(Data!A:A, MATCH($E868, Data!$B:$B, 0)), "")</f>
        <v/>
      </c>
      <c r="E868" s="9" t="str">
        <f>LARGE(Data!$B$2:$B1000,A868 )</f>
        <v>#NUM!</v>
      </c>
      <c r="F868" s="9" t="str">
        <f t="array" ref="F868">IFERROR(INDEX(Data!C:C, MATCH($E868, Data!$B:$B, 0)), "")</f>
        <v/>
      </c>
      <c r="G868" s="9" t="str">
        <f t="array" ref="G868">IFERROR(INDEX(Data!D:D, MATCH($E868, Data!$B:$B, 0)), "")</f>
        <v/>
      </c>
      <c r="H868" s="9" t="str">
        <f t="array" ref="H868">IFERROR(INDEX(Data!E:E, MATCH($E868, Data!$B:$B, 0)), "")</f>
        <v/>
      </c>
      <c r="I868" s="9" t="str">
        <f t="shared" si="1"/>
        <v/>
      </c>
      <c r="J868" s="9" t="str">
        <f t="shared" si="2"/>
        <v>#REF!</v>
      </c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12">
        <v>867.0</v>
      </c>
      <c r="B869" s="13"/>
      <c r="C869" s="9" t="str">
        <f t="array" ref="C869">IFERROR(INDEX(Data!F:F, MATCH($E869, Data!$B:$B, 0)), "")</f>
        <v/>
      </c>
      <c r="D869" s="9" t="str">
        <f t="array" ref="D869">IFERROR(INDEX(Data!A:A, MATCH($E869, Data!$B:$B, 0)), "")</f>
        <v/>
      </c>
      <c r="E869" s="9" t="str">
        <f>LARGE(Data!$B$2:$B1000,A869 )</f>
        <v>#NUM!</v>
      </c>
      <c r="F869" s="9" t="str">
        <f t="array" ref="F869">IFERROR(INDEX(Data!C:C, MATCH($E869, Data!$B:$B, 0)), "")</f>
        <v/>
      </c>
      <c r="G869" s="9" t="str">
        <f t="array" ref="G869">IFERROR(INDEX(Data!D:D, MATCH($E869, Data!$B:$B, 0)), "")</f>
        <v/>
      </c>
      <c r="H869" s="9" t="str">
        <f t="array" ref="H869">IFERROR(INDEX(Data!E:E, MATCH($E869, Data!$B:$B, 0)), "")</f>
        <v/>
      </c>
      <c r="I869" s="9" t="str">
        <f t="shared" si="1"/>
        <v/>
      </c>
      <c r="J869" s="9" t="str">
        <f t="shared" si="2"/>
        <v>#REF!</v>
      </c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12">
        <v>868.0</v>
      </c>
      <c r="B870" s="13"/>
      <c r="C870" s="9" t="str">
        <f t="array" ref="C870">IFERROR(INDEX(Data!F:F, MATCH($E870, Data!$B:$B, 0)), "")</f>
        <v/>
      </c>
      <c r="D870" s="9" t="str">
        <f t="array" ref="D870">IFERROR(INDEX(Data!A:A, MATCH($E870, Data!$B:$B, 0)), "")</f>
        <v/>
      </c>
      <c r="E870" s="9" t="str">
        <f>LARGE(Data!$B$2:$B1000,A870 )</f>
        <v>#NUM!</v>
      </c>
      <c r="F870" s="9" t="str">
        <f t="array" ref="F870">IFERROR(INDEX(Data!C:C, MATCH($E870, Data!$B:$B, 0)), "")</f>
        <v/>
      </c>
      <c r="G870" s="9" t="str">
        <f t="array" ref="G870">IFERROR(INDEX(Data!D:D, MATCH($E870, Data!$B:$B, 0)), "")</f>
        <v/>
      </c>
      <c r="H870" s="9" t="str">
        <f t="array" ref="H870">IFERROR(INDEX(Data!E:E, MATCH($E870, Data!$B:$B, 0)), "")</f>
        <v/>
      </c>
      <c r="I870" s="9" t="str">
        <f t="shared" si="1"/>
        <v/>
      </c>
      <c r="J870" s="9" t="str">
        <f t="shared" si="2"/>
        <v>#REF!</v>
      </c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12">
        <v>869.0</v>
      </c>
      <c r="B871" s="13"/>
      <c r="C871" s="9" t="str">
        <f t="array" ref="C871">IFERROR(INDEX(Data!F:F, MATCH($E871, Data!$B:$B, 0)), "")</f>
        <v/>
      </c>
      <c r="D871" s="9" t="str">
        <f t="array" ref="D871">IFERROR(INDEX(Data!A:A, MATCH($E871, Data!$B:$B, 0)), "")</f>
        <v/>
      </c>
      <c r="E871" s="9" t="str">
        <f>LARGE(Data!$B$2:$B1000,A871 )</f>
        <v>#NUM!</v>
      </c>
      <c r="F871" s="9" t="str">
        <f t="array" ref="F871">IFERROR(INDEX(Data!C:C, MATCH($E871, Data!$B:$B, 0)), "")</f>
        <v/>
      </c>
      <c r="G871" s="9" t="str">
        <f t="array" ref="G871">IFERROR(INDEX(Data!D:D, MATCH($E871, Data!$B:$B, 0)), "")</f>
        <v/>
      </c>
      <c r="H871" s="9" t="str">
        <f t="array" ref="H871">IFERROR(INDEX(Data!E:E, MATCH($E871, Data!$B:$B, 0)), "")</f>
        <v/>
      </c>
      <c r="I871" s="9" t="str">
        <f t="shared" si="1"/>
        <v/>
      </c>
      <c r="J871" s="9" t="str">
        <f t="shared" si="2"/>
        <v>#REF!</v>
      </c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12">
        <v>870.0</v>
      </c>
      <c r="B872" s="13"/>
      <c r="C872" s="9" t="str">
        <f t="array" ref="C872">IFERROR(INDEX(Data!F:F, MATCH($E872, Data!$B:$B, 0)), "")</f>
        <v/>
      </c>
      <c r="D872" s="9" t="str">
        <f t="array" ref="D872">IFERROR(INDEX(Data!A:A, MATCH($E872, Data!$B:$B, 0)), "")</f>
        <v/>
      </c>
      <c r="E872" s="9" t="str">
        <f>LARGE(Data!$B$2:$B1000,A872 )</f>
        <v>#NUM!</v>
      </c>
      <c r="F872" s="9" t="str">
        <f t="array" ref="F872">IFERROR(INDEX(Data!C:C, MATCH($E872, Data!$B:$B, 0)), "")</f>
        <v/>
      </c>
      <c r="G872" s="9" t="str">
        <f t="array" ref="G872">IFERROR(INDEX(Data!D:D, MATCH($E872, Data!$B:$B, 0)), "")</f>
        <v/>
      </c>
      <c r="H872" s="9" t="str">
        <f t="array" ref="H872">IFERROR(INDEX(Data!E:E, MATCH($E872, Data!$B:$B, 0)), "")</f>
        <v/>
      </c>
      <c r="I872" s="9" t="str">
        <f t="shared" si="1"/>
        <v/>
      </c>
      <c r="J872" s="9" t="str">
        <f t="shared" si="2"/>
        <v>#REF!</v>
      </c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12">
        <v>871.0</v>
      </c>
      <c r="B873" s="13"/>
      <c r="C873" s="9" t="str">
        <f t="array" ref="C873">IFERROR(INDEX(Data!F:F, MATCH($E873, Data!$B:$B, 0)), "")</f>
        <v/>
      </c>
      <c r="D873" s="9" t="str">
        <f t="array" ref="D873">IFERROR(INDEX(Data!A:A, MATCH($E873, Data!$B:$B, 0)), "")</f>
        <v/>
      </c>
      <c r="E873" s="9" t="str">
        <f>LARGE(Data!$B$2:$B1000,A873 )</f>
        <v>#NUM!</v>
      </c>
      <c r="F873" s="9" t="str">
        <f t="array" ref="F873">IFERROR(INDEX(Data!C:C, MATCH($E873, Data!$B:$B, 0)), "")</f>
        <v/>
      </c>
      <c r="G873" s="9" t="str">
        <f t="array" ref="G873">IFERROR(INDEX(Data!D:D, MATCH($E873, Data!$B:$B, 0)), "")</f>
        <v/>
      </c>
      <c r="H873" s="9" t="str">
        <f t="array" ref="H873">IFERROR(INDEX(Data!E:E, MATCH($E873, Data!$B:$B, 0)), "")</f>
        <v/>
      </c>
      <c r="I873" s="9" t="str">
        <f t="shared" si="1"/>
        <v/>
      </c>
      <c r="J873" s="9" t="str">
        <f t="shared" si="2"/>
        <v>#REF!</v>
      </c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12">
        <v>872.0</v>
      </c>
      <c r="B874" s="13"/>
      <c r="C874" s="9" t="str">
        <f t="array" ref="C874">IFERROR(INDEX(Data!F:F, MATCH($E874, Data!$B:$B, 0)), "")</f>
        <v/>
      </c>
      <c r="D874" s="9" t="str">
        <f t="array" ref="D874">IFERROR(INDEX(Data!A:A, MATCH($E874, Data!$B:$B, 0)), "")</f>
        <v/>
      </c>
      <c r="E874" s="9" t="str">
        <f>LARGE(Data!$B$2:$B1000,A874 )</f>
        <v>#NUM!</v>
      </c>
      <c r="F874" s="9" t="str">
        <f t="array" ref="F874">IFERROR(INDEX(Data!C:C, MATCH($E874, Data!$B:$B, 0)), "")</f>
        <v/>
      </c>
      <c r="G874" s="9" t="str">
        <f t="array" ref="G874">IFERROR(INDEX(Data!D:D, MATCH($E874, Data!$B:$B, 0)), "")</f>
        <v/>
      </c>
      <c r="H874" s="9" t="str">
        <f t="array" ref="H874">IFERROR(INDEX(Data!E:E, MATCH($E874, Data!$B:$B, 0)), "")</f>
        <v/>
      </c>
      <c r="I874" s="9" t="str">
        <f t="shared" si="1"/>
        <v/>
      </c>
      <c r="J874" s="9" t="str">
        <f t="shared" si="2"/>
        <v>#REF!</v>
      </c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12">
        <v>873.0</v>
      </c>
      <c r="B875" s="13"/>
      <c r="C875" s="9" t="str">
        <f t="array" ref="C875">IFERROR(INDEX(Data!F:F, MATCH($E875, Data!$B:$B, 0)), "")</f>
        <v/>
      </c>
      <c r="D875" s="9" t="str">
        <f t="array" ref="D875">IFERROR(INDEX(Data!A:A, MATCH($E875, Data!$B:$B, 0)), "")</f>
        <v/>
      </c>
      <c r="E875" s="9" t="str">
        <f>LARGE(Data!$B$2:$B1000,A875 )</f>
        <v>#NUM!</v>
      </c>
      <c r="F875" s="9" t="str">
        <f t="array" ref="F875">IFERROR(INDEX(Data!C:C, MATCH($E875, Data!$B:$B, 0)), "")</f>
        <v/>
      </c>
      <c r="G875" s="9" t="str">
        <f t="array" ref="G875">IFERROR(INDEX(Data!D:D, MATCH($E875, Data!$B:$B, 0)), "")</f>
        <v/>
      </c>
      <c r="H875" s="9" t="str">
        <f t="array" ref="H875">IFERROR(INDEX(Data!E:E, MATCH($E875, Data!$B:$B, 0)), "")</f>
        <v/>
      </c>
      <c r="I875" s="9" t="str">
        <f t="shared" si="1"/>
        <v/>
      </c>
      <c r="J875" s="9" t="str">
        <f t="shared" si="2"/>
        <v>#REF!</v>
      </c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12">
        <v>874.0</v>
      </c>
      <c r="B876" s="13"/>
      <c r="C876" s="9" t="str">
        <f t="array" ref="C876">IFERROR(INDEX(Data!F:F, MATCH($E876, Data!$B:$B, 0)), "")</f>
        <v/>
      </c>
      <c r="D876" s="9" t="str">
        <f t="array" ref="D876">IFERROR(INDEX(Data!A:A, MATCH($E876, Data!$B:$B, 0)), "")</f>
        <v/>
      </c>
      <c r="E876" s="9" t="str">
        <f>LARGE(Data!$B$2:$B1000,A876 )</f>
        <v>#NUM!</v>
      </c>
      <c r="F876" s="9" t="str">
        <f t="array" ref="F876">IFERROR(INDEX(Data!C:C, MATCH($E876, Data!$B:$B, 0)), "")</f>
        <v/>
      </c>
      <c r="G876" s="9" t="str">
        <f t="array" ref="G876">IFERROR(INDEX(Data!D:D, MATCH($E876, Data!$B:$B, 0)), "")</f>
        <v/>
      </c>
      <c r="H876" s="9" t="str">
        <f t="array" ref="H876">IFERROR(INDEX(Data!E:E, MATCH($E876, Data!$B:$B, 0)), "")</f>
        <v/>
      </c>
      <c r="I876" s="9" t="str">
        <f t="shared" si="1"/>
        <v/>
      </c>
      <c r="J876" s="9" t="str">
        <f t="shared" si="2"/>
        <v>#REF!</v>
      </c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12">
        <v>875.0</v>
      </c>
      <c r="B877" s="13"/>
      <c r="C877" s="9" t="str">
        <f t="array" ref="C877">IFERROR(INDEX(Data!F:F, MATCH($E877, Data!$B:$B, 0)), "")</f>
        <v/>
      </c>
      <c r="D877" s="9" t="str">
        <f t="array" ref="D877">IFERROR(INDEX(Data!A:A, MATCH($E877, Data!$B:$B, 0)), "")</f>
        <v/>
      </c>
      <c r="E877" s="9" t="str">
        <f>LARGE(Data!$B$2:$B1000,A877 )</f>
        <v>#NUM!</v>
      </c>
      <c r="F877" s="9" t="str">
        <f t="array" ref="F877">IFERROR(INDEX(Data!C:C, MATCH($E877, Data!$B:$B, 0)), "")</f>
        <v/>
      </c>
      <c r="G877" s="9" t="str">
        <f t="array" ref="G877">IFERROR(INDEX(Data!D:D, MATCH($E877, Data!$B:$B, 0)), "")</f>
        <v/>
      </c>
      <c r="H877" s="9" t="str">
        <f t="array" ref="H877">IFERROR(INDEX(Data!E:E, MATCH($E877, Data!$B:$B, 0)), "")</f>
        <v/>
      </c>
      <c r="I877" s="9" t="str">
        <f t="shared" si="1"/>
        <v/>
      </c>
      <c r="J877" s="9" t="str">
        <f t="shared" si="2"/>
        <v>#REF!</v>
      </c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12">
        <v>876.0</v>
      </c>
      <c r="B878" s="13"/>
      <c r="C878" s="9" t="str">
        <f t="array" ref="C878">IFERROR(INDEX(Data!F:F, MATCH($E878, Data!$B:$B, 0)), "")</f>
        <v/>
      </c>
      <c r="D878" s="9" t="str">
        <f t="array" ref="D878">IFERROR(INDEX(Data!A:A, MATCH($E878, Data!$B:$B, 0)), "")</f>
        <v/>
      </c>
      <c r="E878" s="9" t="str">
        <f>LARGE(Data!$B$2:$B1000,A878 )</f>
        <v>#NUM!</v>
      </c>
      <c r="F878" s="9" t="str">
        <f t="array" ref="F878">IFERROR(INDEX(Data!C:C, MATCH($E878, Data!$B:$B, 0)), "")</f>
        <v/>
      </c>
      <c r="G878" s="9" t="str">
        <f t="array" ref="G878">IFERROR(INDEX(Data!D:D, MATCH($E878, Data!$B:$B, 0)), "")</f>
        <v/>
      </c>
      <c r="H878" s="9" t="str">
        <f t="array" ref="H878">IFERROR(INDEX(Data!E:E, MATCH($E878, Data!$B:$B, 0)), "")</f>
        <v/>
      </c>
      <c r="I878" s="9" t="str">
        <f t="shared" si="1"/>
        <v/>
      </c>
      <c r="J878" s="9" t="str">
        <f t="shared" si="2"/>
        <v>#REF!</v>
      </c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12">
        <v>877.0</v>
      </c>
      <c r="B879" s="13"/>
      <c r="C879" s="9" t="str">
        <f t="array" ref="C879">IFERROR(INDEX(Data!F:F, MATCH($E879, Data!$B:$B, 0)), "")</f>
        <v/>
      </c>
      <c r="D879" s="9" t="str">
        <f t="array" ref="D879">IFERROR(INDEX(Data!A:A, MATCH($E879, Data!$B:$B, 0)), "")</f>
        <v/>
      </c>
      <c r="E879" s="9" t="str">
        <f>LARGE(Data!$B$2:$B1000,A879 )</f>
        <v>#NUM!</v>
      </c>
      <c r="F879" s="9" t="str">
        <f t="array" ref="F879">IFERROR(INDEX(Data!C:C, MATCH($E879, Data!$B:$B, 0)), "")</f>
        <v/>
      </c>
      <c r="G879" s="9" t="str">
        <f t="array" ref="G879">IFERROR(INDEX(Data!D:D, MATCH($E879, Data!$B:$B, 0)), "")</f>
        <v/>
      </c>
      <c r="H879" s="9" t="str">
        <f t="array" ref="H879">IFERROR(INDEX(Data!E:E, MATCH($E879, Data!$B:$B, 0)), "")</f>
        <v/>
      </c>
      <c r="I879" s="9" t="str">
        <f t="shared" si="1"/>
        <v/>
      </c>
      <c r="J879" s="9" t="str">
        <f t="shared" si="2"/>
        <v>#REF!</v>
      </c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12">
        <v>878.0</v>
      </c>
      <c r="B880" s="13"/>
      <c r="C880" s="9" t="str">
        <f t="array" ref="C880">IFERROR(INDEX(Data!F:F, MATCH($E880, Data!$B:$B, 0)), "")</f>
        <v/>
      </c>
      <c r="D880" s="9" t="str">
        <f t="array" ref="D880">IFERROR(INDEX(Data!A:A, MATCH($E880, Data!$B:$B, 0)), "")</f>
        <v/>
      </c>
      <c r="E880" s="9" t="str">
        <f>LARGE(Data!$B$2:$B1000,A880 )</f>
        <v>#NUM!</v>
      </c>
      <c r="F880" s="9" t="str">
        <f t="array" ref="F880">IFERROR(INDEX(Data!C:C, MATCH($E880, Data!$B:$B, 0)), "")</f>
        <v/>
      </c>
      <c r="G880" s="9" t="str">
        <f t="array" ref="G880">IFERROR(INDEX(Data!D:D, MATCH($E880, Data!$B:$B, 0)), "")</f>
        <v/>
      </c>
      <c r="H880" s="9" t="str">
        <f t="array" ref="H880">IFERROR(INDEX(Data!E:E, MATCH($E880, Data!$B:$B, 0)), "")</f>
        <v/>
      </c>
      <c r="I880" s="9" t="str">
        <f t="shared" si="1"/>
        <v/>
      </c>
      <c r="J880" s="9" t="str">
        <f t="shared" si="2"/>
        <v>#REF!</v>
      </c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12">
        <v>879.0</v>
      </c>
      <c r="B881" s="13"/>
      <c r="C881" s="9" t="str">
        <f t="array" ref="C881">IFERROR(INDEX(Data!F:F, MATCH($E881, Data!$B:$B, 0)), "")</f>
        <v/>
      </c>
      <c r="D881" s="9" t="str">
        <f t="array" ref="D881">IFERROR(INDEX(Data!A:A, MATCH($E881, Data!$B:$B, 0)), "")</f>
        <v/>
      </c>
      <c r="E881" s="9" t="str">
        <f>LARGE(Data!$B$2:$B1000,A881 )</f>
        <v>#NUM!</v>
      </c>
      <c r="F881" s="9" t="str">
        <f t="array" ref="F881">IFERROR(INDEX(Data!C:C, MATCH($E881, Data!$B:$B, 0)), "")</f>
        <v/>
      </c>
      <c r="G881" s="9" t="str">
        <f t="array" ref="G881">IFERROR(INDEX(Data!D:D, MATCH($E881, Data!$B:$B, 0)), "")</f>
        <v/>
      </c>
      <c r="H881" s="9" t="str">
        <f t="array" ref="H881">IFERROR(INDEX(Data!E:E, MATCH($E881, Data!$B:$B, 0)), "")</f>
        <v/>
      </c>
      <c r="I881" s="9" t="str">
        <f t="shared" si="1"/>
        <v/>
      </c>
      <c r="J881" s="9" t="str">
        <f t="shared" si="2"/>
        <v>#REF!</v>
      </c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12">
        <v>880.0</v>
      </c>
      <c r="B882" s="13"/>
      <c r="C882" s="9" t="str">
        <f t="array" ref="C882">IFERROR(INDEX(Data!F:F, MATCH($E882, Data!$B:$B, 0)), "")</f>
        <v/>
      </c>
      <c r="D882" s="9" t="str">
        <f t="array" ref="D882">IFERROR(INDEX(Data!A:A, MATCH($E882, Data!$B:$B, 0)), "")</f>
        <v/>
      </c>
      <c r="E882" s="9" t="str">
        <f>LARGE(Data!$B$2:$B1000,A882 )</f>
        <v>#NUM!</v>
      </c>
      <c r="F882" s="9" t="str">
        <f t="array" ref="F882">IFERROR(INDEX(Data!C:C, MATCH($E882, Data!$B:$B, 0)), "")</f>
        <v/>
      </c>
      <c r="G882" s="9" t="str">
        <f t="array" ref="G882">IFERROR(INDEX(Data!D:D, MATCH($E882, Data!$B:$B, 0)), "")</f>
        <v/>
      </c>
      <c r="H882" s="9" t="str">
        <f t="array" ref="H882">IFERROR(INDEX(Data!E:E, MATCH($E882, Data!$B:$B, 0)), "")</f>
        <v/>
      </c>
      <c r="I882" s="9" t="str">
        <f t="shared" si="1"/>
        <v/>
      </c>
      <c r="J882" s="9" t="str">
        <f t="shared" si="2"/>
        <v>#REF!</v>
      </c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12">
        <v>881.0</v>
      </c>
      <c r="B883" s="13"/>
      <c r="C883" s="9" t="str">
        <f t="array" ref="C883">IFERROR(INDEX(Data!F:F, MATCH($E883, Data!$B:$B, 0)), "")</f>
        <v/>
      </c>
      <c r="D883" s="9" t="str">
        <f t="array" ref="D883">IFERROR(INDEX(Data!A:A, MATCH($E883, Data!$B:$B, 0)), "")</f>
        <v/>
      </c>
      <c r="E883" s="9" t="str">
        <f>LARGE(Data!$B$2:$B1000,A883 )</f>
        <v>#NUM!</v>
      </c>
      <c r="F883" s="9" t="str">
        <f t="array" ref="F883">IFERROR(INDEX(Data!C:C, MATCH($E883, Data!$B:$B, 0)), "")</f>
        <v/>
      </c>
      <c r="G883" s="9" t="str">
        <f t="array" ref="G883">IFERROR(INDEX(Data!D:D, MATCH($E883, Data!$B:$B, 0)), "")</f>
        <v/>
      </c>
      <c r="H883" s="9" t="str">
        <f t="array" ref="H883">IFERROR(INDEX(Data!E:E, MATCH($E883, Data!$B:$B, 0)), "")</f>
        <v/>
      </c>
      <c r="I883" s="9" t="str">
        <f t="shared" si="1"/>
        <v/>
      </c>
      <c r="J883" s="9" t="str">
        <f t="shared" si="2"/>
        <v>#REF!</v>
      </c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12">
        <v>882.0</v>
      </c>
      <c r="B884" s="13"/>
      <c r="C884" s="9" t="str">
        <f t="array" ref="C884">IFERROR(INDEX(Data!F:F, MATCH($E884, Data!$B:$B, 0)), "")</f>
        <v/>
      </c>
      <c r="D884" s="9" t="str">
        <f t="array" ref="D884">IFERROR(INDEX(Data!A:A, MATCH($E884, Data!$B:$B, 0)), "")</f>
        <v/>
      </c>
      <c r="E884" s="9" t="str">
        <f>LARGE(Data!$B$2:$B1000,A884 )</f>
        <v>#NUM!</v>
      </c>
      <c r="F884" s="9" t="str">
        <f t="array" ref="F884">IFERROR(INDEX(Data!C:C, MATCH($E884, Data!$B:$B, 0)), "")</f>
        <v/>
      </c>
      <c r="G884" s="9" t="str">
        <f t="array" ref="G884">IFERROR(INDEX(Data!D:D, MATCH($E884, Data!$B:$B, 0)), "")</f>
        <v/>
      </c>
      <c r="H884" s="9" t="str">
        <f t="array" ref="H884">IFERROR(INDEX(Data!E:E, MATCH($E884, Data!$B:$B, 0)), "")</f>
        <v/>
      </c>
      <c r="I884" s="9" t="str">
        <f t="shared" si="1"/>
        <v/>
      </c>
      <c r="J884" s="9" t="str">
        <f t="shared" si="2"/>
        <v>#REF!</v>
      </c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12">
        <v>883.0</v>
      </c>
      <c r="B885" s="13"/>
      <c r="C885" s="9" t="str">
        <f t="array" ref="C885">IFERROR(INDEX(Data!F:F, MATCH($E885, Data!$B:$B, 0)), "")</f>
        <v/>
      </c>
      <c r="D885" s="9" t="str">
        <f t="array" ref="D885">IFERROR(INDEX(Data!A:A, MATCH($E885, Data!$B:$B, 0)), "")</f>
        <v/>
      </c>
      <c r="E885" s="9" t="str">
        <f>LARGE(Data!$B$2:$B1000,A885 )</f>
        <v>#NUM!</v>
      </c>
      <c r="F885" s="9" t="str">
        <f t="array" ref="F885">IFERROR(INDEX(Data!C:C, MATCH($E885, Data!$B:$B, 0)), "")</f>
        <v/>
      </c>
      <c r="G885" s="9" t="str">
        <f t="array" ref="G885">IFERROR(INDEX(Data!D:D, MATCH($E885, Data!$B:$B, 0)), "")</f>
        <v/>
      </c>
      <c r="H885" s="9" t="str">
        <f t="array" ref="H885">IFERROR(INDEX(Data!E:E, MATCH($E885, Data!$B:$B, 0)), "")</f>
        <v/>
      </c>
      <c r="I885" s="9" t="str">
        <f t="shared" si="1"/>
        <v/>
      </c>
      <c r="J885" s="9" t="str">
        <f t="shared" si="2"/>
        <v>#REF!</v>
      </c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12">
        <v>884.0</v>
      </c>
      <c r="B886" s="13"/>
      <c r="C886" s="9" t="str">
        <f t="array" ref="C886">IFERROR(INDEX(Data!F:F, MATCH($E886, Data!$B:$B, 0)), "")</f>
        <v/>
      </c>
      <c r="D886" s="9" t="str">
        <f t="array" ref="D886">IFERROR(INDEX(Data!A:A, MATCH($E886, Data!$B:$B, 0)), "")</f>
        <v/>
      </c>
      <c r="E886" s="9" t="str">
        <f>LARGE(Data!$B$2:$B1000,A886 )</f>
        <v>#NUM!</v>
      </c>
      <c r="F886" s="9" t="str">
        <f t="array" ref="F886">IFERROR(INDEX(Data!C:C, MATCH($E886, Data!$B:$B, 0)), "")</f>
        <v/>
      </c>
      <c r="G886" s="9" t="str">
        <f t="array" ref="G886">IFERROR(INDEX(Data!D:D, MATCH($E886, Data!$B:$B, 0)), "")</f>
        <v/>
      </c>
      <c r="H886" s="9" t="str">
        <f t="array" ref="H886">IFERROR(INDEX(Data!E:E, MATCH($E886, Data!$B:$B, 0)), "")</f>
        <v/>
      </c>
      <c r="I886" s="9" t="str">
        <f t="shared" si="1"/>
        <v/>
      </c>
      <c r="J886" s="9" t="str">
        <f t="shared" si="2"/>
        <v>#REF!</v>
      </c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12">
        <v>885.0</v>
      </c>
      <c r="B887" s="13"/>
      <c r="C887" s="9" t="str">
        <f t="array" ref="C887">IFERROR(INDEX(Data!F:F, MATCH($E887, Data!$B:$B, 0)), "")</f>
        <v/>
      </c>
      <c r="D887" s="9" t="str">
        <f t="array" ref="D887">IFERROR(INDEX(Data!A:A, MATCH($E887, Data!$B:$B, 0)), "")</f>
        <v/>
      </c>
      <c r="E887" s="9" t="str">
        <f>LARGE(Data!$B$2:$B1000,A887 )</f>
        <v>#NUM!</v>
      </c>
      <c r="F887" s="9" t="str">
        <f t="array" ref="F887">IFERROR(INDEX(Data!C:C, MATCH($E887, Data!$B:$B, 0)), "")</f>
        <v/>
      </c>
      <c r="G887" s="9" t="str">
        <f t="array" ref="G887">IFERROR(INDEX(Data!D:D, MATCH($E887, Data!$B:$B, 0)), "")</f>
        <v/>
      </c>
      <c r="H887" s="9" t="str">
        <f t="array" ref="H887">IFERROR(INDEX(Data!E:E, MATCH($E887, Data!$B:$B, 0)), "")</f>
        <v/>
      </c>
      <c r="I887" s="9" t="str">
        <f t="shared" si="1"/>
        <v/>
      </c>
      <c r="J887" s="9" t="str">
        <f t="shared" si="2"/>
        <v>#REF!</v>
      </c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12">
        <v>886.0</v>
      </c>
      <c r="B888" s="13"/>
      <c r="C888" s="9" t="str">
        <f t="array" ref="C888">IFERROR(INDEX(Data!F:F, MATCH($E888, Data!$B:$B, 0)), "")</f>
        <v/>
      </c>
      <c r="D888" s="9" t="str">
        <f t="array" ref="D888">IFERROR(INDEX(Data!A:A, MATCH($E888, Data!$B:$B, 0)), "")</f>
        <v/>
      </c>
      <c r="E888" s="9" t="str">
        <f>LARGE(Data!$B$2:$B1000,A888 )</f>
        <v>#NUM!</v>
      </c>
      <c r="F888" s="9" t="str">
        <f t="array" ref="F888">IFERROR(INDEX(Data!C:C, MATCH($E888, Data!$B:$B, 0)), "")</f>
        <v/>
      </c>
      <c r="G888" s="9" t="str">
        <f t="array" ref="G888">IFERROR(INDEX(Data!D:D, MATCH($E888, Data!$B:$B, 0)), "")</f>
        <v/>
      </c>
      <c r="H888" s="9" t="str">
        <f t="array" ref="H888">IFERROR(INDEX(Data!E:E, MATCH($E888, Data!$B:$B, 0)), "")</f>
        <v/>
      </c>
      <c r="I888" s="9" t="str">
        <f t="shared" si="1"/>
        <v/>
      </c>
      <c r="J888" s="9" t="str">
        <f t="shared" si="2"/>
        <v>#REF!</v>
      </c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12">
        <v>887.0</v>
      </c>
      <c r="B889" s="13"/>
      <c r="C889" s="9" t="str">
        <f t="array" ref="C889">IFERROR(INDEX(Data!F:F, MATCH($E889, Data!$B:$B, 0)), "")</f>
        <v/>
      </c>
      <c r="D889" s="9" t="str">
        <f t="array" ref="D889">IFERROR(INDEX(Data!A:A, MATCH($E889, Data!$B:$B, 0)), "")</f>
        <v/>
      </c>
      <c r="E889" s="9" t="str">
        <f>LARGE(Data!$B$2:$B1000,A889 )</f>
        <v>#NUM!</v>
      </c>
      <c r="F889" s="9" t="str">
        <f t="array" ref="F889">IFERROR(INDEX(Data!C:C, MATCH($E889, Data!$B:$B, 0)), "")</f>
        <v/>
      </c>
      <c r="G889" s="9" t="str">
        <f t="array" ref="G889">IFERROR(INDEX(Data!D:D, MATCH($E889, Data!$B:$B, 0)), "")</f>
        <v/>
      </c>
      <c r="H889" s="9" t="str">
        <f t="array" ref="H889">IFERROR(INDEX(Data!E:E, MATCH($E889, Data!$B:$B, 0)), "")</f>
        <v/>
      </c>
      <c r="I889" s="9" t="str">
        <f t="shared" si="1"/>
        <v/>
      </c>
      <c r="J889" s="9" t="str">
        <f t="shared" si="2"/>
        <v>#REF!</v>
      </c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12">
        <v>888.0</v>
      </c>
      <c r="B890" s="13"/>
      <c r="C890" s="9" t="str">
        <f t="array" ref="C890">IFERROR(INDEX(Data!F:F, MATCH($E890, Data!$B:$B, 0)), "")</f>
        <v/>
      </c>
      <c r="D890" s="9" t="str">
        <f t="array" ref="D890">IFERROR(INDEX(Data!A:A, MATCH($E890, Data!$B:$B, 0)), "")</f>
        <v/>
      </c>
      <c r="E890" s="9" t="str">
        <f>LARGE(Data!$B$2:$B1000,A890 )</f>
        <v>#NUM!</v>
      </c>
      <c r="F890" s="9" t="str">
        <f t="array" ref="F890">IFERROR(INDEX(Data!C:C, MATCH($E890, Data!$B:$B, 0)), "")</f>
        <v/>
      </c>
      <c r="G890" s="9" t="str">
        <f t="array" ref="G890">IFERROR(INDEX(Data!D:D, MATCH($E890, Data!$B:$B, 0)), "")</f>
        <v/>
      </c>
      <c r="H890" s="9" t="str">
        <f t="array" ref="H890">IFERROR(INDEX(Data!E:E, MATCH($E890, Data!$B:$B, 0)), "")</f>
        <v/>
      </c>
      <c r="I890" s="9" t="str">
        <f t="shared" si="1"/>
        <v/>
      </c>
      <c r="J890" s="9" t="str">
        <f t="shared" si="2"/>
        <v>#REF!</v>
      </c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12">
        <v>889.0</v>
      </c>
      <c r="B891" s="13"/>
      <c r="C891" s="9" t="str">
        <f t="array" ref="C891">IFERROR(INDEX(Data!F:F, MATCH($E891, Data!$B:$B, 0)), "")</f>
        <v/>
      </c>
      <c r="D891" s="9" t="str">
        <f t="array" ref="D891">IFERROR(INDEX(Data!A:A, MATCH($E891, Data!$B:$B, 0)), "")</f>
        <v/>
      </c>
      <c r="E891" s="9" t="str">
        <f>LARGE(Data!$B$2:$B1000,A891 )</f>
        <v>#NUM!</v>
      </c>
      <c r="F891" s="9" t="str">
        <f t="array" ref="F891">IFERROR(INDEX(Data!C:C, MATCH($E891, Data!$B:$B, 0)), "")</f>
        <v/>
      </c>
      <c r="G891" s="9" t="str">
        <f t="array" ref="G891">IFERROR(INDEX(Data!D:D, MATCH($E891, Data!$B:$B, 0)), "")</f>
        <v/>
      </c>
      <c r="H891" s="9" t="str">
        <f t="array" ref="H891">IFERROR(INDEX(Data!E:E, MATCH($E891, Data!$B:$B, 0)), "")</f>
        <v/>
      </c>
      <c r="I891" s="9" t="str">
        <f t="shared" si="1"/>
        <v/>
      </c>
      <c r="J891" s="9" t="str">
        <f t="shared" si="2"/>
        <v>#REF!</v>
      </c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12">
        <v>890.0</v>
      </c>
      <c r="B892" s="13"/>
      <c r="C892" s="9" t="str">
        <f t="array" ref="C892">IFERROR(INDEX(Data!F:F, MATCH($E892, Data!$B:$B, 0)), "")</f>
        <v/>
      </c>
      <c r="D892" s="9" t="str">
        <f t="array" ref="D892">IFERROR(INDEX(Data!A:A, MATCH($E892, Data!$B:$B, 0)), "")</f>
        <v/>
      </c>
      <c r="E892" s="9" t="str">
        <f>LARGE(Data!$B$2:$B1000,A892 )</f>
        <v>#NUM!</v>
      </c>
      <c r="F892" s="9" t="str">
        <f t="array" ref="F892">IFERROR(INDEX(Data!C:C, MATCH($E892, Data!$B:$B, 0)), "")</f>
        <v/>
      </c>
      <c r="G892" s="9" t="str">
        <f t="array" ref="G892">IFERROR(INDEX(Data!D:D, MATCH($E892, Data!$B:$B, 0)), "")</f>
        <v/>
      </c>
      <c r="H892" s="9" t="str">
        <f t="array" ref="H892">IFERROR(INDEX(Data!E:E, MATCH($E892, Data!$B:$B, 0)), "")</f>
        <v/>
      </c>
      <c r="I892" s="9" t="str">
        <f t="shared" si="1"/>
        <v/>
      </c>
      <c r="J892" s="9" t="str">
        <f t="shared" si="2"/>
        <v>#REF!</v>
      </c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12">
        <v>891.0</v>
      </c>
      <c r="B893" s="13"/>
      <c r="C893" s="9" t="str">
        <f t="array" ref="C893">IFERROR(INDEX(Data!F:F, MATCH($E893, Data!$B:$B, 0)), "")</f>
        <v/>
      </c>
      <c r="D893" s="9" t="str">
        <f t="array" ref="D893">IFERROR(INDEX(Data!A:A, MATCH($E893, Data!$B:$B, 0)), "")</f>
        <v/>
      </c>
      <c r="E893" s="9" t="str">
        <f>LARGE(Data!$B$2:$B1000,A893 )</f>
        <v>#NUM!</v>
      </c>
      <c r="F893" s="9" t="str">
        <f t="array" ref="F893">IFERROR(INDEX(Data!C:C, MATCH($E893, Data!$B:$B, 0)), "")</f>
        <v/>
      </c>
      <c r="G893" s="9" t="str">
        <f t="array" ref="G893">IFERROR(INDEX(Data!D:D, MATCH($E893, Data!$B:$B, 0)), "")</f>
        <v/>
      </c>
      <c r="H893" s="9" t="str">
        <f t="array" ref="H893">IFERROR(INDEX(Data!E:E, MATCH($E893, Data!$B:$B, 0)), "")</f>
        <v/>
      </c>
      <c r="I893" s="9" t="str">
        <f t="shared" si="1"/>
        <v/>
      </c>
      <c r="J893" s="9" t="str">
        <f t="shared" si="2"/>
        <v>#REF!</v>
      </c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12">
        <v>892.0</v>
      </c>
      <c r="B894" s="13"/>
      <c r="C894" s="9" t="str">
        <f t="array" ref="C894">IFERROR(INDEX(Data!F:F, MATCH($E894, Data!$B:$B, 0)), "")</f>
        <v/>
      </c>
      <c r="D894" s="9" t="str">
        <f t="array" ref="D894">IFERROR(INDEX(Data!A:A, MATCH($E894, Data!$B:$B, 0)), "")</f>
        <v/>
      </c>
      <c r="E894" s="9" t="str">
        <f>LARGE(Data!$B$2:$B1000,A894 )</f>
        <v>#NUM!</v>
      </c>
      <c r="F894" s="9" t="str">
        <f t="array" ref="F894">IFERROR(INDEX(Data!C:C, MATCH($E894, Data!$B:$B, 0)), "")</f>
        <v/>
      </c>
      <c r="G894" s="9" t="str">
        <f t="array" ref="G894">IFERROR(INDEX(Data!D:D, MATCH($E894, Data!$B:$B, 0)), "")</f>
        <v/>
      </c>
      <c r="H894" s="9" t="str">
        <f t="array" ref="H894">IFERROR(INDEX(Data!E:E, MATCH($E894, Data!$B:$B, 0)), "")</f>
        <v/>
      </c>
      <c r="I894" s="9" t="str">
        <f t="shared" si="1"/>
        <v/>
      </c>
      <c r="J894" s="9" t="str">
        <f t="shared" si="2"/>
        <v>#REF!</v>
      </c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12">
        <v>893.0</v>
      </c>
      <c r="B895" s="13"/>
      <c r="C895" s="9" t="str">
        <f t="array" ref="C895">IFERROR(INDEX(Data!F:F, MATCH($E895, Data!$B:$B, 0)), "")</f>
        <v/>
      </c>
      <c r="D895" s="9" t="str">
        <f t="array" ref="D895">IFERROR(INDEX(Data!A:A, MATCH($E895, Data!$B:$B, 0)), "")</f>
        <v/>
      </c>
      <c r="E895" s="9" t="str">
        <f>LARGE(Data!$B$2:$B1000,A895 )</f>
        <v>#NUM!</v>
      </c>
      <c r="F895" s="9" t="str">
        <f t="array" ref="F895">IFERROR(INDEX(Data!C:C, MATCH($E895, Data!$B:$B, 0)), "")</f>
        <v/>
      </c>
      <c r="G895" s="9" t="str">
        <f t="array" ref="G895">IFERROR(INDEX(Data!D:D, MATCH($E895, Data!$B:$B, 0)), "")</f>
        <v/>
      </c>
      <c r="H895" s="9" t="str">
        <f t="array" ref="H895">IFERROR(INDEX(Data!E:E, MATCH($E895, Data!$B:$B, 0)), "")</f>
        <v/>
      </c>
      <c r="I895" s="9" t="str">
        <f t="shared" si="1"/>
        <v/>
      </c>
      <c r="J895" s="9" t="str">
        <f t="shared" si="2"/>
        <v>#REF!</v>
      </c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12">
        <v>894.0</v>
      </c>
      <c r="B896" s="13"/>
      <c r="C896" s="9" t="str">
        <f t="array" ref="C896">IFERROR(INDEX(Data!F:F, MATCH($E896, Data!$B:$B, 0)), "")</f>
        <v/>
      </c>
      <c r="D896" s="9" t="str">
        <f t="array" ref="D896">IFERROR(INDEX(Data!A:A, MATCH($E896, Data!$B:$B, 0)), "")</f>
        <v/>
      </c>
      <c r="E896" s="9" t="str">
        <f>LARGE(Data!$B$2:$B1000,A896 )</f>
        <v>#NUM!</v>
      </c>
      <c r="F896" s="9" t="str">
        <f t="array" ref="F896">IFERROR(INDEX(Data!C:C, MATCH($E896, Data!$B:$B, 0)), "")</f>
        <v/>
      </c>
      <c r="G896" s="9" t="str">
        <f t="array" ref="G896">IFERROR(INDEX(Data!D:D, MATCH($E896, Data!$B:$B, 0)), "")</f>
        <v/>
      </c>
      <c r="H896" s="9" t="str">
        <f t="array" ref="H896">IFERROR(INDEX(Data!E:E, MATCH($E896, Data!$B:$B, 0)), "")</f>
        <v/>
      </c>
      <c r="I896" s="9" t="str">
        <f t="shared" si="1"/>
        <v/>
      </c>
      <c r="J896" s="9" t="str">
        <f t="shared" si="2"/>
        <v>#REF!</v>
      </c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12">
        <v>895.0</v>
      </c>
      <c r="B897" s="13"/>
      <c r="C897" s="9" t="str">
        <f t="array" ref="C897">IFERROR(INDEX(Data!F:F, MATCH($E897, Data!$B:$B, 0)), "")</f>
        <v/>
      </c>
      <c r="D897" s="9" t="str">
        <f t="array" ref="D897">IFERROR(INDEX(Data!A:A, MATCH($E897, Data!$B:$B, 0)), "")</f>
        <v/>
      </c>
      <c r="E897" s="9" t="str">
        <f>LARGE(Data!$B$2:$B1000,A897 )</f>
        <v>#NUM!</v>
      </c>
      <c r="F897" s="9" t="str">
        <f t="array" ref="F897">IFERROR(INDEX(Data!C:C, MATCH($E897, Data!$B:$B, 0)), "")</f>
        <v/>
      </c>
      <c r="G897" s="9" t="str">
        <f t="array" ref="G897">IFERROR(INDEX(Data!D:D, MATCH($E897, Data!$B:$B, 0)), "")</f>
        <v/>
      </c>
      <c r="H897" s="9" t="str">
        <f t="array" ref="H897">IFERROR(INDEX(Data!E:E, MATCH($E897, Data!$B:$B, 0)), "")</f>
        <v/>
      </c>
      <c r="I897" s="9" t="str">
        <f t="shared" si="1"/>
        <v/>
      </c>
      <c r="J897" s="9" t="str">
        <f t="shared" si="2"/>
        <v>#REF!</v>
      </c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12">
        <v>896.0</v>
      </c>
      <c r="B898" s="13"/>
      <c r="C898" s="9" t="str">
        <f t="array" ref="C898">IFERROR(INDEX(Data!F:F, MATCH($E898, Data!$B:$B, 0)), "")</f>
        <v/>
      </c>
      <c r="D898" s="9" t="str">
        <f t="array" ref="D898">IFERROR(INDEX(Data!A:A, MATCH($E898, Data!$B:$B, 0)), "")</f>
        <v/>
      </c>
      <c r="E898" s="9" t="str">
        <f>LARGE(Data!$B$2:$B1000,A898 )</f>
        <v>#NUM!</v>
      </c>
      <c r="F898" s="9" t="str">
        <f t="array" ref="F898">IFERROR(INDEX(Data!C:C, MATCH($E898, Data!$B:$B, 0)), "")</f>
        <v/>
      </c>
      <c r="G898" s="9" t="str">
        <f t="array" ref="G898">IFERROR(INDEX(Data!D:D, MATCH($E898, Data!$B:$B, 0)), "")</f>
        <v/>
      </c>
      <c r="H898" s="9" t="str">
        <f t="array" ref="H898">IFERROR(INDEX(Data!E:E, MATCH($E898, Data!$B:$B, 0)), "")</f>
        <v/>
      </c>
      <c r="I898" s="9" t="str">
        <f t="shared" si="1"/>
        <v/>
      </c>
      <c r="J898" s="9" t="str">
        <f t="shared" si="2"/>
        <v>#REF!</v>
      </c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12">
        <v>897.0</v>
      </c>
      <c r="B899" s="13"/>
      <c r="C899" s="9" t="str">
        <f t="array" ref="C899">IFERROR(INDEX(Data!F:F, MATCH($E899, Data!$B:$B, 0)), "")</f>
        <v/>
      </c>
      <c r="D899" s="9" t="str">
        <f t="array" ref="D899">IFERROR(INDEX(Data!A:A, MATCH($E899, Data!$B:$B, 0)), "")</f>
        <v/>
      </c>
      <c r="E899" s="9" t="str">
        <f>LARGE(Data!$B$2:$B1000,A899 )</f>
        <v>#NUM!</v>
      </c>
      <c r="F899" s="9" t="str">
        <f t="array" ref="F899">IFERROR(INDEX(Data!C:C, MATCH($E899, Data!$B:$B, 0)), "")</f>
        <v/>
      </c>
      <c r="G899" s="9" t="str">
        <f t="array" ref="G899">IFERROR(INDEX(Data!D:D, MATCH($E899, Data!$B:$B, 0)), "")</f>
        <v/>
      </c>
      <c r="H899" s="9" t="str">
        <f t="array" ref="H899">IFERROR(INDEX(Data!E:E, MATCH($E899, Data!$B:$B, 0)), "")</f>
        <v/>
      </c>
      <c r="I899" s="9" t="str">
        <f t="shared" si="1"/>
        <v/>
      </c>
      <c r="J899" s="9" t="str">
        <f t="shared" si="2"/>
        <v>#REF!</v>
      </c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12">
        <v>898.0</v>
      </c>
      <c r="B900" s="13"/>
      <c r="C900" s="9" t="str">
        <f t="array" ref="C900">IFERROR(INDEX(Data!F:F, MATCH($E900, Data!$B:$B, 0)), "")</f>
        <v/>
      </c>
      <c r="D900" s="9" t="str">
        <f t="array" ref="D900">IFERROR(INDEX(Data!A:A, MATCH($E900, Data!$B:$B, 0)), "")</f>
        <v/>
      </c>
      <c r="E900" s="9" t="str">
        <f>LARGE(Data!$B$2:$B1000,A900 )</f>
        <v>#NUM!</v>
      </c>
      <c r="F900" s="9" t="str">
        <f t="array" ref="F900">IFERROR(INDEX(Data!C:C, MATCH($E900, Data!$B:$B, 0)), "")</f>
        <v/>
      </c>
      <c r="G900" s="9" t="str">
        <f t="array" ref="G900">IFERROR(INDEX(Data!D:D, MATCH($E900, Data!$B:$B, 0)), "")</f>
        <v/>
      </c>
      <c r="H900" s="9" t="str">
        <f t="array" ref="H900">IFERROR(INDEX(Data!E:E, MATCH($E900, Data!$B:$B, 0)), "")</f>
        <v/>
      </c>
      <c r="I900" s="9" t="str">
        <f t="shared" si="1"/>
        <v/>
      </c>
      <c r="J900" s="9" t="str">
        <f t="shared" si="2"/>
        <v>#REF!</v>
      </c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12">
        <v>899.0</v>
      </c>
      <c r="B901" s="13"/>
      <c r="C901" s="9" t="str">
        <f t="array" ref="C901">IFERROR(INDEX(Data!F:F, MATCH($E901, Data!$B:$B, 0)), "")</f>
        <v/>
      </c>
      <c r="D901" s="9" t="str">
        <f t="array" ref="D901">IFERROR(INDEX(Data!A:A, MATCH($E901, Data!$B:$B, 0)), "")</f>
        <v/>
      </c>
      <c r="E901" s="9" t="str">
        <f>LARGE(Data!$B$2:$B1000,A901 )</f>
        <v>#NUM!</v>
      </c>
      <c r="F901" s="9" t="str">
        <f t="array" ref="F901">IFERROR(INDEX(Data!C:C, MATCH($E901, Data!$B:$B, 0)), "")</f>
        <v/>
      </c>
      <c r="G901" s="9" t="str">
        <f t="array" ref="G901">IFERROR(INDEX(Data!D:D, MATCH($E901, Data!$B:$B, 0)), "")</f>
        <v/>
      </c>
      <c r="H901" s="9" t="str">
        <f t="array" ref="H901">IFERROR(INDEX(Data!E:E, MATCH($E901, Data!$B:$B, 0)), "")</f>
        <v/>
      </c>
      <c r="I901" s="9" t="str">
        <f t="shared" si="1"/>
        <v/>
      </c>
      <c r="J901" s="9" t="str">
        <f t="shared" si="2"/>
        <v>#REF!</v>
      </c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12">
        <v>900.0</v>
      </c>
      <c r="B902" s="13"/>
      <c r="C902" s="9" t="str">
        <f t="array" ref="C902">IFERROR(INDEX(Data!F:F, MATCH($E902, Data!$B:$B, 0)), "")</f>
        <v/>
      </c>
      <c r="D902" s="9" t="str">
        <f t="array" ref="D902">IFERROR(INDEX(Data!A:A, MATCH($E902, Data!$B:$B, 0)), "")</f>
        <v/>
      </c>
      <c r="E902" s="9" t="str">
        <f>LARGE(Data!$B$2:$B1000,A902 )</f>
        <v>#NUM!</v>
      </c>
      <c r="F902" s="9" t="str">
        <f t="array" ref="F902">IFERROR(INDEX(Data!C:C, MATCH($E902, Data!$B:$B, 0)), "")</f>
        <v/>
      </c>
      <c r="G902" s="9" t="str">
        <f t="array" ref="G902">IFERROR(INDEX(Data!D:D, MATCH($E902, Data!$B:$B, 0)), "")</f>
        <v/>
      </c>
      <c r="H902" s="9" t="str">
        <f t="array" ref="H902">IFERROR(INDEX(Data!E:E, MATCH($E902, Data!$B:$B, 0)), "")</f>
        <v/>
      </c>
      <c r="I902" s="9" t="str">
        <f t="shared" si="1"/>
        <v/>
      </c>
      <c r="J902" s="9" t="str">
        <f t="shared" si="2"/>
        <v>#REF!</v>
      </c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12">
        <v>901.0</v>
      </c>
      <c r="B903" s="13"/>
      <c r="C903" s="9" t="str">
        <f t="array" ref="C903">IFERROR(INDEX(Data!F:F, MATCH($E903, Data!$B:$B, 0)), "")</f>
        <v/>
      </c>
      <c r="D903" s="9" t="str">
        <f t="array" ref="D903">IFERROR(INDEX(Data!A:A, MATCH($E903, Data!$B:$B, 0)), "")</f>
        <v/>
      </c>
      <c r="E903" s="9" t="str">
        <f>LARGE(Data!$B$2:$B1000,A903 )</f>
        <v>#NUM!</v>
      </c>
      <c r="F903" s="9" t="str">
        <f t="array" ref="F903">IFERROR(INDEX(Data!C:C, MATCH($E903, Data!$B:$B, 0)), "")</f>
        <v/>
      </c>
      <c r="G903" s="9" t="str">
        <f t="array" ref="G903">IFERROR(INDEX(Data!D:D, MATCH($E903, Data!$B:$B, 0)), "")</f>
        <v/>
      </c>
      <c r="H903" s="9" t="str">
        <f t="array" ref="H903">IFERROR(INDEX(Data!E:E, MATCH($E903, Data!$B:$B, 0)), "")</f>
        <v/>
      </c>
      <c r="I903" s="9" t="str">
        <f t="shared" si="1"/>
        <v/>
      </c>
      <c r="J903" s="9" t="str">
        <f t="shared" si="2"/>
        <v>#REF!</v>
      </c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12">
        <v>902.0</v>
      </c>
      <c r="B904" s="13"/>
      <c r="C904" s="9" t="str">
        <f t="array" ref="C904">IFERROR(INDEX(Data!F:F, MATCH($E904, Data!$B:$B, 0)), "")</f>
        <v/>
      </c>
      <c r="D904" s="9" t="str">
        <f t="array" ref="D904">IFERROR(INDEX(Data!A:A, MATCH($E904, Data!$B:$B, 0)), "")</f>
        <v/>
      </c>
      <c r="E904" s="9" t="str">
        <f>LARGE(Data!$B$2:$B1000,A904 )</f>
        <v>#NUM!</v>
      </c>
      <c r="F904" s="9" t="str">
        <f t="array" ref="F904">IFERROR(INDEX(Data!C:C, MATCH($E904, Data!$B:$B, 0)), "")</f>
        <v/>
      </c>
      <c r="G904" s="9" t="str">
        <f t="array" ref="G904">IFERROR(INDEX(Data!D:D, MATCH($E904, Data!$B:$B, 0)), "")</f>
        <v/>
      </c>
      <c r="H904" s="9" t="str">
        <f t="array" ref="H904">IFERROR(INDEX(Data!E:E, MATCH($E904, Data!$B:$B, 0)), "")</f>
        <v/>
      </c>
      <c r="I904" s="9" t="str">
        <f t="shared" si="1"/>
        <v/>
      </c>
      <c r="J904" s="9" t="str">
        <f t="shared" si="2"/>
        <v>#REF!</v>
      </c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12">
        <v>903.0</v>
      </c>
      <c r="B905" s="13"/>
      <c r="C905" s="9" t="str">
        <f t="array" ref="C905">IFERROR(INDEX(Data!F:F, MATCH($E905, Data!$B:$B, 0)), "")</f>
        <v/>
      </c>
      <c r="D905" s="9" t="str">
        <f t="array" ref="D905">IFERROR(INDEX(Data!A:A, MATCH($E905, Data!$B:$B, 0)), "")</f>
        <v/>
      </c>
      <c r="E905" s="9" t="str">
        <f>LARGE(Data!$B$2:$B1000,A905 )</f>
        <v>#NUM!</v>
      </c>
      <c r="F905" s="9" t="str">
        <f t="array" ref="F905">IFERROR(INDEX(Data!C:C, MATCH($E905, Data!$B:$B, 0)), "")</f>
        <v/>
      </c>
      <c r="G905" s="9" t="str">
        <f t="array" ref="G905">IFERROR(INDEX(Data!D:D, MATCH($E905, Data!$B:$B, 0)), "")</f>
        <v/>
      </c>
      <c r="H905" s="9" t="str">
        <f t="array" ref="H905">IFERROR(INDEX(Data!E:E, MATCH($E905, Data!$B:$B, 0)), "")</f>
        <v/>
      </c>
      <c r="I905" s="9" t="str">
        <f t="shared" si="1"/>
        <v/>
      </c>
      <c r="J905" s="9" t="str">
        <f t="shared" si="2"/>
        <v>#REF!</v>
      </c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12">
        <v>904.0</v>
      </c>
      <c r="B906" s="13"/>
      <c r="C906" s="9" t="str">
        <f t="array" ref="C906">IFERROR(INDEX(Data!F:F, MATCH($E906, Data!$B:$B, 0)), "")</f>
        <v/>
      </c>
      <c r="D906" s="9" t="str">
        <f t="array" ref="D906">IFERROR(INDEX(Data!A:A, MATCH($E906, Data!$B:$B, 0)), "")</f>
        <v/>
      </c>
      <c r="E906" s="9" t="str">
        <f>LARGE(Data!$B$2:$B1000,A906 )</f>
        <v>#NUM!</v>
      </c>
      <c r="F906" s="9" t="str">
        <f t="array" ref="F906">IFERROR(INDEX(Data!C:C, MATCH($E906, Data!$B:$B, 0)), "")</f>
        <v/>
      </c>
      <c r="G906" s="9" t="str">
        <f t="array" ref="G906">IFERROR(INDEX(Data!D:D, MATCH($E906, Data!$B:$B, 0)), "")</f>
        <v/>
      </c>
      <c r="H906" s="9" t="str">
        <f t="array" ref="H906">IFERROR(INDEX(Data!E:E, MATCH($E906, Data!$B:$B, 0)), "")</f>
        <v/>
      </c>
      <c r="I906" s="9" t="str">
        <f t="shared" si="1"/>
        <v/>
      </c>
      <c r="J906" s="9" t="str">
        <f t="shared" si="2"/>
        <v>#REF!</v>
      </c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12">
        <v>905.0</v>
      </c>
      <c r="B907" s="13"/>
      <c r="C907" s="9" t="str">
        <f t="array" ref="C907">IFERROR(INDEX(Data!F:F, MATCH($E907, Data!$B:$B, 0)), "")</f>
        <v/>
      </c>
      <c r="D907" s="9" t="str">
        <f t="array" ref="D907">IFERROR(INDEX(Data!A:A, MATCH($E907, Data!$B:$B, 0)), "")</f>
        <v/>
      </c>
      <c r="E907" s="9" t="str">
        <f>LARGE(Data!$B$2:$B1000,A907 )</f>
        <v>#NUM!</v>
      </c>
      <c r="F907" s="9" t="str">
        <f t="array" ref="F907">IFERROR(INDEX(Data!C:C, MATCH($E907, Data!$B:$B, 0)), "")</f>
        <v/>
      </c>
      <c r="G907" s="9" t="str">
        <f t="array" ref="G907">IFERROR(INDEX(Data!D:D, MATCH($E907, Data!$B:$B, 0)), "")</f>
        <v/>
      </c>
      <c r="H907" s="9" t="str">
        <f t="array" ref="H907">IFERROR(INDEX(Data!E:E, MATCH($E907, Data!$B:$B, 0)), "")</f>
        <v/>
      </c>
      <c r="I907" s="9" t="str">
        <f t="shared" si="1"/>
        <v/>
      </c>
      <c r="J907" s="9" t="str">
        <f t="shared" si="2"/>
        <v>#REF!</v>
      </c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12">
        <v>906.0</v>
      </c>
      <c r="B908" s="13"/>
      <c r="C908" s="9" t="str">
        <f t="array" ref="C908">IFERROR(INDEX(Data!F:F, MATCH($E908, Data!$B:$B, 0)), "")</f>
        <v/>
      </c>
      <c r="D908" s="9" t="str">
        <f t="array" ref="D908">IFERROR(INDEX(Data!A:A, MATCH($E908, Data!$B:$B, 0)), "")</f>
        <v/>
      </c>
      <c r="E908" s="9" t="str">
        <f>LARGE(Data!$B$2:$B1000,A908 )</f>
        <v>#NUM!</v>
      </c>
      <c r="F908" s="9" t="str">
        <f t="array" ref="F908">IFERROR(INDEX(Data!C:C, MATCH($E908, Data!$B:$B, 0)), "")</f>
        <v/>
      </c>
      <c r="G908" s="9" t="str">
        <f t="array" ref="G908">IFERROR(INDEX(Data!D:D, MATCH($E908, Data!$B:$B, 0)), "")</f>
        <v/>
      </c>
      <c r="H908" s="9" t="str">
        <f t="array" ref="H908">IFERROR(INDEX(Data!E:E, MATCH($E908, Data!$B:$B, 0)), "")</f>
        <v/>
      </c>
      <c r="I908" s="9" t="str">
        <f t="shared" si="1"/>
        <v/>
      </c>
      <c r="J908" s="9" t="str">
        <f t="shared" si="2"/>
        <v>#REF!</v>
      </c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12">
        <v>907.0</v>
      </c>
      <c r="B909" s="13"/>
      <c r="C909" s="9" t="str">
        <f t="array" ref="C909">IFERROR(INDEX(Data!F:F, MATCH($E909, Data!$B:$B, 0)), "")</f>
        <v/>
      </c>
      <c r="D909" s="9" t="str">
        <f t="array" ref="D909">IFERROR(INDEX(Data!A:A, MATCH($E909, Data!$B:$B, 0)), "")</f>
        <v/>
      </c>
      <c r="E909" s="9" t="str">
        <f>LARGE(Data!$B$2:$B1000,A909 )</f>
        <v>#NUM!</v>
      </c>
      <c r="F909" s="9" t="str">
        <f t="array" ref="F909">IFERROR(INDEX(Data!C:C, MATCH($E909, Data!$B:$B, 0)), "")</f>
        <v/>
      </c>
      <c r="G909" s="9" t="str">
        <f t="array" ref="G909">IFERROR(INDEX(Data!D:D, MATCH($E909, Data!$B:$B, 0)), "")</f>
        <v/>
      </c>
      <c r="H909" s="9" t="str">
        <f t="array" ref="H909">IFERROR(INDEX(Data!E:E, MATCH($E909, Data!$B:$B, 0)), "")</f>
        <v/>
      </c>
      <c r="I909" s="9" t="str">
        <f t="shared" si="1"/>
        <v/>
      </c>
      <c r="J909" s="9" t="str">
        <f t="shared" si="2"/>
        <v>#REF!</v>
      </c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12">
        <v>908.0</v>
      </c>
      <c r="B910" s="13"/>
      <c r="C910" s="9" t="str">
        <f t="array" ref="C910">IFERROR(INDEX(Data!F:F, MATCH($E910, Data!$B:$B, 0)), "")</f>
        <v/>
      </c>
      <c r="D910" s="9" t="str">
        <f t="array" ref="D910">IFERROR(INDEX(Data!A:A, MATCH($E910, Data!$B:$B, 0)), "")</f>
        <v/>
      </c>
      <c r="E910" s="9" t="str">
        <f>LARGE(Data!$B$2:$B1000,A910 )</f>
        <v>#NUM!</v>
      </c>
      <c r="F910" s="9" t="str">
        <f t="array" ref="F910">IFERROR(INDEX(Data!C:C, MATCH($E910, Data!$B:$B, 0)), "")</f>
        <v/>
      </c>
      <c r="G910" s="9" t="str">
        <f t="array" ref="G910">IFERROR(INDEX(Data!D:D, MATCH($E910, Data!$B:$B, 0)), "")</f>
        <v/>
      </c>
      <c r="H910" s="9" t="str">
        <f t="array" ref="H910">IFERROR(INDEX(Data!E:E, MATCH($E910, Data!$B:$B, 0)), "")</f>
        <v/>
      </c>
      <c r="I910" s="9" t="str">
        <f t="shared" si="1"/>
        <v/>
      </c>
      <c r="J910" s="9" t="str">
        <f t="shared" si="2"/>
        <v>#REF!</v>
      </c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12">
        <v>909.0</v>
      </c>
      <c r="B911" s="13"/>
      <c r="C911" s="9" t="str">
        <f t="array" ref="C911">IFERROR(INDEX(Data!F:F, MATCH($E911, Data!$B:$B, 0)), "")</f>
        <v/>
      </c>
      <c r="D911" s="9" t="str">
        <f t="array" ref="D911">IFERROR(INDEX(Data!A:A, MATCH($E911, Data!$B:$B, 0)), "")</f>
        <v/>
      </c>
      <c r="E911" s="9" t="str">
        <f>LARGE(Data!$B$2:$B1000,A911 )</f>
        <v>#NUM!</v>
      </c>
      <c r="F911" s="9" t="str">
        <f t="array" ref="F911">IFERROR(INDEX(Data!C:C, MATCH($E911, Data!$B:$B, 0)), "")</f>
        <v/>
      </c>
      <c r="G911" s="9" t="str">
        <f t="array" ref="G911">IFERROR(INDEX(Data!D:D, MATCH($E911, Data!$B:$B, 0)), "")</f>
        <v/>
      </c>
      <c r="H911" s="9" t="str">
        <f t="array" ref="H911">IFERROR(INDEX(Data!E:E, MATCH($E911, Data!$B:$B, 0)), "")</f>
        <v/>
      </c>
      <c r="I911" s="9" t="str">
        <f t="shared" si="1"/>
        <v/>
      </c>
      <c r="J911" s="9" t="str">
        <f t="shared" si="2"/>
        <v>#REF!</v>
      </c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12">
        <v>910.0</v>
      </c>
      <c r="B912" s="13"/>
      <c r="C912" s="9" t="str">
        <f t="array" ref="C912">IFERROR(INDEX(Data!F:F, MATCH($E912, Data!$B:$B, 0)), "")</f>
        <v/>
      </c>
      <c r="D912" s="9" t="str">
        <f t="array" ref="D912">IFERROR(INDEX(Data!A:A, MATCH($E912, Data!$B:$B, 0)), "")</f>
        <v/>
      </c>
      <c r="E912" s="9" t="str">
        <f>LARGE(Data!$B$2:$B1000,A912 )</f>
        <v>#NUM!</v>
      </c>
      <c r="F912" s="9" t="str">
        <f t="array" ref="F912">IFERROR(INDEX(Data!C:C, MATCH($E912, Data!$B:$B, 0)), "")</f>
        <v/>
      </c>
      <c r="G912" s="9" t="str">
        <f t="array" ref="G912">IFERROR(INDEX(Data!D:D, MATCH($E912, Data!$B:$B, 0)), "")</f>
        <v/>
      </c>
      <c r="H912" s="9" t="str">
        <f t="array" ref="H912">IFERROR(INDEX(Data!E:E, MATCH($E912, Data!$B:$B, 0)), "")</f>
        <v/>
      </c>
      <c r="I912" s="9" t="str">
        <f t="shared" si="1"/>
        <v/>
      </c>
      <c r="J912" s="9" t="str">
        <f t="shared" si="2"/>
        <v>#REF!</v>
      </c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12">
        <v>911.0</v>
      </c>
      <c r="B913" s="13"/>
      <c r="C913" s="9" t="str">
        <f t="array" ref="C913">IFERROR(INDEX(Data!F:F, MATCH($E913, Data!$B:$B, 0)), "")</f>
        <v/>
      </c>
      <c r="D913" s="9" t="str">
        <f t="array" ref="D913">IFERROR(INDEX(Data!A:A, MATCH($E913, Data!$B:$B, 0)), "")</f>
        <v/>
      </c>
      <c r="E913" s="9" t="str">
        <f>LARGE(Data!$B$2:$B1000,A913 )</f>
        <v>#NUM!</v>
      </c>
      <c r="F913" s="9" t="str">
        <f t="array" ref="F913">IFERROR(INDEX(Data!C:C, MATCH($E913, Data!$B:$B, 0)), "")</f>
        <v/>
      </c>
      <c r="G913" s="9" t="str">
        <f t="array" ref="G913">IFERROR(INDEX(Data!D:D, MATCH($E913, Data!$B:$B, 0)), "")</f>
        <v/>
      </c>
      <c r="H913" s="9" t="str">
        <f t="array" ref="H913">IFERROR(INDEX(Data!E:E, MATCH($E913, Data!$B:$B, 0)), "")</f>
        <v/>
      </c>
      <c r="I913" s="9" t="str">
        <f t="shared" si="1"/>
        <v/>
      </c>
      <c r="J913" s="9" t="str">
        <f t="shared" si="2"/>
        <v>#REF!</v>
      </c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12">
        <v>912.0</v>
      </c>
      <c r="B914" s="13"/>
      <c r="C914" s="9" t="str">
        <f t="array" ref="C914">IFERROR(INDEX(Data!F:F, MATCH($E914, Data!$B:$B, 0)), "")</f>
        <v/>
      </c>
      <c r="D914" s="9" t="str">
        <f t="array" ref="D914">IFERROR(INDEX(Data!A:A, MATCH($E914, Data!$B:$B, 0)), "")</f>
        <v/>
      </c>
      <c r="E914" s="9" t="str">
        <f>LARGE(Data!$B$2:$B1000,A914 )</f>
        <v>#NUM!</v>
      </c>
      <c r="F914" s="9" t="str">
        <f t="array" ref="F914">IFERROR(INDEX(Data!C:C, MATCH($E914, Data!$B:$B, 0)), "")</f>
        <v/>
      </c>
      <c r="G914" s="9" t="str">
        <f t="array" ref="G914">IFERROR(INDEX(Data!D:D, MATCH($E914, Data!$B:$B, 0)), "")</f>
        <v/>
      </c>
      <c r="H914" s="9" t="str">
        <f t="array" ref="H914">IFERROR(INDEX(Data!E:E, MATCH($E914, Data!$B:$B, 0)), "")</f>
        <v/>
      </c>
      <c r="I914" s="9" t="str">
        <f t="shared" si="1"/>
        <v/>
      </c>
      <c r="J914" s="9" t="str">
        <f t="shared" si="2"/>
        <v>#REF!</v>
      </c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12">
        <v>913.0</v>
      </c>
      <c r="B915" s="13"/>
      <c r="C915" s="9" t="str">
        <f t="array" ref="C915">IFERROR(INDEX(Data!F:F, MATCH($E915, Data!$B:$B, 0)), "")</f>
        <v/>
      </c>
      <c r="D915" s="9" t="str">
        <f t="array" ref="D915">IFERROR(INDEX(Data!A:A, MATCH($E915, Data!$B:$B, 0)), "")</f>
        <v/>
      </c>
      <c r="E915" s="9" t="str">
        <f>LARGE(Data!$B$2:$B1000,A915 )</f>
        <v>#NUM!</v>
      </c>
      <c r="F915" s="9" t="str">
        <f t="array" ref="F915">IFERROR(INDEX(Data!C:C, MATCH($E915, Data!$B:$B, 0)), "")</f>
        <v/>
      </c>
      <c r="G915" s="9" t="str">
        <f t="array" ref="G915">IFERROR(INDEX(Data!D:D, MATCH($E915, Data!$B:$B, 0)), "")</f>
        <v/>
      </c>
      <c r="H915" s="9" t="str">
        <f t="array" ref="H915">IFERROR(INDEX(Data!E:E, MATCH($E915, Data!$B:$B, 0)), "")</f>
        <v/>
      </c>
      <c r="I915" s="9" t="str">
        <f t="shared" si="1"/>
        <v/>
      </c>
      <c r="J915" s="9" t="str">
        <f t="shared" si="2"/>
        <v>#REF!</v>
      </c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12">
        <v>914.0</v>
      </c>
      <c r="B916" s="13"/>
      <c r="C916" s="9" t="str">
        <f t="array" ref="C916">IFERROR(INDEX(Data!F:F, MATCH($E916, Data!$B:$B, 0)), "")</f>
        <v/>
      </c>
      <c r="D916" s="9" t="str">
        <f t="array" ref="D916">IFERROR(INDEX(Data!A:A, MATCH($E916, Data!$B:$B, 0)), "")</f>
        <v/>
      </c>
      <c r="E916" s="9" t="str">
        <f>LARGE(Data!$B$2:$B1000,A916 )</f>
        <v>#NUM!</v>
      </c>
      <c r="F916" s="9" t="str">
        <f t="array" ref="F916">IFERROR(INDEX(Data!C:C, MATCH($E916, Data!$B:$B, 0)), "")</f>
        <v/>
      </c>
      <c r="G916" s="9" t="str">
        <f t="array" ref="G916">IFERROR(INDEX(Data!D:D, MATCH($E916, Data!$B:$B, 0)), "")</f>
        <v/>
      </c>
      <c r="H916" s="9" t="str">
        <f t="array" ref="H916">IFERROR(INDEX(Data!E:E, MATCH($E916, Data!$B:$B, 0)), "")</f>
        <v/>
      </c>
      <c r="I916" s="9" t="str">
        <f t="shared" si="1"/>
        <v/>
      </c>
      <c r="J916" s="9" t="str">
        <f t="shared" si="2"/>
        <v>#REF!</v>
      </c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12">
        <v>915.0</v>
      </c>
      <c r="B917" s="13"/>
      <c r="C917" s="9" t="str">
        <f t="array" ref="C917">IFERROR(INDEX(Data!F:F, MATCH($E917, Data!$B:$B, 0)), "")</f>
        <v/>
      </c>
      <c r="D917" s="9" t="str">
        <f t="array" ref="D917">IFERROR(INDEX(Data!A:A, MATCH($E917, Data!$B:$B, 0)), "")</f>
        <v/>
      </c>
      <c r="E917" s="9" t="str">
        <f>LARGE(Data!$B$2:$B1000,A917 )</f>
        <v>#NUM!</v>
      </c>
      <c r="F917" s="9" t="str">
        <f t="array" ref="F917">IFERROR(INDEX(Data!C:C, MATCH($E917, Data!$B:$B, 0)), "")</f>
        <v/>
      </c>
      <c r="G917" s="9" t="str">
        <f t="array" ref="G917">IFERROR(INDEX(Data!D:D, MATCH($E917, Data!$B:$B, 0)), "")</f>
        <v/>
      </c>
      <c r="H917" s="9" t="str">
        <f t="array" ref="H917">IFERROR(INDEX(Data!E:E, MATCH($E917, Data!$B:$B, 0)), "")</f>
        <v/>
      </c>
      <c r="I917" s="9" t="str">
        <f t="shared" si="1"/>
        <v/>
      </c>
      <c r="J917" s="9" t="str">
        <f t="shared" si="2"/>
        <v>#REF!</v>
      </c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12">
        <v>916.0</v>
      </c>
      <c r="B918" s="13"/>
      <c r="C918" s="9" t="str">
        <f t="array" ref="C918">IFERROR(INDEX(Data!F:F, MATCH($E918, Data!$B:$B, 0)), "")</f>
        <v/>
      </c>
      <c r="D918" s="9" t="str">
        <f t="array" ref="D918">IFERROR(INDEX(Data!A:A, MATCH($E918, Data!$B:$B, 0)), "")</f>
        <v/>
      </c>
      <c r="E918" s="9" t="str">
        <f>LARGE(Data!$B$2:$B1000,A918 )</f>
        <v>#NUM!</v>
      </c>
      <c r="F918" s="9" t="str">
        <f t="array" ref="F918">IFERROR(INDEX(Data!C:C, MATCH($E918, Data!$B:$B, 0)), "")</f>
        <v/>
      </c>
      <c r="G918" s="9" t="str">
        <f t="array" ref="G918">IFERROR(INDEX(Data!D:D, MATCH($E918, Data!$B:$B, 0)), "")</f>
        <v/>
      </c>
      <c r="H918" s="9" t="str">
        <f t="array" ref="H918">IFERROR(INDEX(Data!E:E, MATCH($E918, Data!$B:$B, 0)), "")</f>
        <v/>
      </c>
      <c r="I918" s="9" t="str">
        <f t="shared" si="1"/>
        <v/>
      </c>
      <c r="J918" s="9" t="str">
        <f t="shared" si="2"/>
        <v>#REF!</v>
      </c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12">
        <v>917.0</v>
      </c>
      <c r="B919" s="13"/>
      <c r="C919" s="9" t="str">
        <f t="array" ref="C919">IFERROR(INDEX(Data!F:F, MATCH($E919, Data!$B:$B, 0)), "")</f>
        <v/>
      </c>
      <c r="D919" s="9" t="str">
        <f t="array" ref="D919">IFERROR(INDEX(Data!A:A, MATCH($E919, Data!$B:$B, 0)), "")</f>
        <v/>
      </c>
      <c r="E919" s="9" t="str">
        <f>LARGE(Data!$B$2:$B1000,A919 )</f>
        <v>#NUM!</v>
      </c>
      <c r="F919" s="9" t="str">
        <f t="array" ref="F919">IFERROR(INDEX(Data!C:C, MATCH($E919, Data!$B:$B, 0)), "")</f>
        <v/>
      </c>
      <c r="G919" s="9" t="str">
        <f t="array" ref="G919">IFERROR(INDEX(Data!D:D, MATCH($E919, Data!$B:$B, 0)), "")</f>
        <v/>
      </c>
      <c r="H919" s="9" t="str">
        <f t="array" ref="H919">IFERROR(INDEX(Data!E:E, MATCH($E919, Data!$B:$B, 0)), "")</f>
        <v/>
      </c>
      <c r="I919" s="9" t="str">
        <f t="shared" si="1"/>
        <v/>
      </c>
      <c r="J919" s="9" t="str">
        <f t="shared" si="2"/>
        <v>#REF!</v>
      </c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12">
        <v>918.0</v>
      </c>
      <c r="B920" s="13"/>
      <c r="C920" s="9" t="str">
        <f t="array" ref="C920">IFERROR(INDEX(Data!F:F, MATCH($E920, Data!$B:$B, 0)), "")</f>
        <v/>
      </c>
      <c r="D920" s="9" t="str">
        <f t="array" ref="D920">IFERROR(INDEX(Data!A:A, MATCH($E920, Data!$B:$B, 0)), "")</f>
        <v/>
      </c>
      <c r="E920" s="9" t="str">
        <f>LARGE(Data!$B$2:$B1000,A920 )</f>
        <v>#NUM!</v>
      </c>
      <c r="F920" s="9" t="str">
        <f t="array" ref="F920">IFERROR(INDEX(Data!C:C, MATCH($E920, Data!$B:$B, 0)), "")</f>
        <v/>
      </c>
      <c r="G920" s="9" t="str">
        <f t="array" ref="G920">IFERROR(INDEX(Data!D:D, MATCH($E920, Data!$B:$B, 0)), "")</f>
        <v/>
      </c>
      <c r="H920" s="9" t="str">
        <f t="array" ref="H920">IFERROR(INDEX(Data!E:E, MATCH($E920, Data!$B:$B, 0)), "")</f>
        <v/>
      </c>
      <c r="I920" s="9" t="str">
        <f t="shared" si="1"/>
        <v/>
      </c>
      <c r="J920" s="9" t="str">
        <f t="shared" si="2"/>
        <v>#REF!</v>
      </c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12">
        <v>919.0</v>
      </c>
      <c r="B921" s="13"/>
      <c r="C921" s="9" t="str">
        <f t="array" ref="C921">IFERROR(INDEX(Data!F:F, MATCH($E921, Data!$B:$B, 0)), "")</f>
        <v/>
      </c>
      <c r="D921" s="9" t="str">
        <f t="array" ref="D921">IFERROR(INDEX(Data!A:A, MATCH($E921, Data!$B:$B, 0)), "")</f>
        <v/>
      </c>
      <c r="E921" s="9" t="str">
        <f>LARGE(Data!$B$2:$B1000,A921 )</f>
        <v>#NUM!</v>
      </c>
      <c r="F921" s="9" t="str">
        <f t="array" ref="F921">IFERROR(INDEX(Data!C:C, MATCH($E921, Data!$B:$B, 0)), "")</f>
        <v/>
      </c>
      <c r="G921" s="9" t="str">
        <f t="array" ref="G921">IFERROR(INDEX(Data!D:D, MATCH($E921, Data!$B:$B, 0)), "")</f>
        <v/>
      </c>
      <c r="H921" s="9" t="str">
        <f t="array" ref="H921">IFERROR(INDEX(Data!E:E, MATCH($E921, Data!$B:$B, 0)), "")</f>
        <v/>
      </c>
      <c r="I921" s="9" t="str">
        <f t="shared" si="1"/>
        <v/>
      </c>
      <c r="J921" s="9" t="str">
        <f t="shared" si="2"/>
        <v>#REF!</v>
      </c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12">
        <v>920.0</v>
      </c>
      <c r="B922" s="13"/>
      <c r="C922" s="9" t="str">
        <f t="array" ref="C922">IFERROR(INDEX(Data!F:F, MATCH($E922, Data!$B:$B, 0)), "")</f>
        <v/>
      </c>
      <c r="D922" s="9" t="str">
        <f t="array" ref="D922">IFERROR(INDEX(Data!A:A, MATCH($E922, Data!$B:$B, 0)), "")</f>
        <v/>
      </c>
      <c r="E922" s="9" t="str">
        <f>LARGE(Data!$B$2:$B1000,A922 )</f>
        <v>#NUM!</v>
      </c>
      <c r="F922" s="9" t="str">
        <f t="array" ref="F922">IFERROR(INDEX(Data!C:C, MATCH($E922, Data!$B:$B, 0)), "")</f>
        <v/>
      </c>
      <c r="G922" s="9" t="str">
        <f t="array" ref="G922">IFERROR(INDEX(Data!D:D, MATCH($E922, Data!$B:$B, 0)), "")</f>
        <v/>
      </c>
      <c r="H922" s="9" t="str">
        <f t="array" ref="H922">IFERROR(INDEX(Data!E:E, MATCH($E922, Data!$B:$B, 0)), "")</f>
        <v/>
      </c>
      <c r="I922" s="9" t="str">
        <f t="shared" si="1"/>
        <v/>
      </c>
      <c r="J922" s="9" t="str">
        <f t="shared" si="2"/>
        <v>#REF!</v>
      </c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12">
        <v>921.0</v>
      </c>
      <c r="B923" s="13"/>
      <c r="C923" s="9" t="str">
        <f t="array" ref="C923">IFERROR(INDEX(Data!F:F, MATCH($E923, Data!$B:$B, 0)), "")</f>
        <v/>
      </c>
      <c r="D923" s="9" t="str">
        <f t="array" ref="D923">IFERROR(INDEX(Data!A:A, MATCH($E923, Data!$B:$B, 0)), "")</f>
        <v/>
      </c>
      <c r="E923" s="9" t="str">
        <f>LARGE(Data!$B$2:$B1000,A923 )</f>
        <v>#NUM!</v>
      </c>
      <c r="F923" s="9" t="str">
        <f t="array" ref="F923">IFERROR(INDEX(Data!C:C, MATCH($E923, Data!$B:$B, 0)), "")</f>
        <v/>
      </c>
      <c r="G923" s="9" t="str">
        <f t="array" ref="G923">IFERROR(INDEX(Data!D:D, MATCH($E923, Data!$B:$B, 0)), "")</f>
        <v/>
      </c>
      <c r="H923" s="9" t="str">
        <f t="array" ref="H923">IFERROR(INDEX(Data!E:E, MATCH($E923, Data!$B:$B, 0)), "")</f>
        <v/>
      </c>
      <c r="I923" s="9" t="str">
        <f t="shared" si="1"/>
        <v/>
      </c>
      <c r="J923" s="9" t="str">
        <f t="shared" si="2"/>
        <v>#REF!</v>
      </c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12">
        <v>922.0</v>
      </c>
      <c r="B924" s="13"/>
      <c r="C924" s="9" t="str">
        <f t="array" ref="C924">IFERROR(INDEX(Data!F:F, MATCH($E924, Data!$B:$B, 0)), "")</f>
        <v/>
      </c>
      <c r="D924" s="9" t="str">
        <f t="array" ref="D924">IFERROR(INDEX(Data!A:A, MATCH($E924, Data!$B:$B, 0)), "")</f>
        <v/>
      </c>
      <c r="E924" s="9" t="str">
        <f>LARGE(Data!$B$2:$B1000,A924 )</f>
        <v>#NUM!</v>
      </c>
      <c r="F924" s="9" t="str">
        <f t="array" ref="F924">IFERROR(INDEX(Data!C:C, MATCH($E924, Data!$B:$B, 0)), "")</f>
        <v/>
      </c>
      <c r="G924" s="9" t="str">
        <f t="array" ref="G924">IFERROR(INDEX(Data!D:D, MATCH($E924, Data!$B:$B, 0)), "")</f>
        <v/>
      </c>
      <c r="H924" s="9" t="str">
        <f t="array" ref="H924">IFERROR(INDEX(Data!E:E, MATCH($E924, Data!$B:$B, 0)), "")</f>
        <v/>
      </c>
      <c r="I924" s="9" t="str">
        <f t="shared" si="1"/>
        <v/>
      </c>
      <c r="J924" s="9" t="str">
        <f t="shared" si="2"/>
        <v>#REF!</v>
      </c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12">
        <v>923.0</v>
      </c>
      <c r="B925" s="13"/>
      <c r="C925" s="9" t="str">
        <f t="array" ref="C925">IFERROR(INDEX(Data!F:F, MATCH($E925, Data!$B:$B, 0)), "")</f>
        <v/>
      </c>
      <c r="D925" s="9" t="str">
        <f t="array" ref="D925">IFERROR(INDEX(Data!A:A, MATCH($E925, Data!$B:$B, 0)), "")</f>
        <v/>
      </c>
      <c r="E925" s="9" t="str">
        <f>LARGE(Data!$B$2:$B1000,A925 )</f>
        <v>#NUM!</v>
      </c>
      <c r="F925" s="9" t="str">
        <f t="array" ref="F925">IFERROR(INDEX(Data!C:C, MATCH($E925, Data!$B:$B, 0)), "")</f>
        <v/>
      </c>
      <c r="G925" s="9" t="str">
        <f t="array" ref="G925">IFERROR(INDEX(Data!D:D, MATCH($E925, Data!$B:$B, 0)), "")</f>
        <v/>
      </c>
      <c r="H925" s="9" t="str">
        <f t="array" ref="H925">IFERROR(INDEX(Data!E:E, MATCH($E925, Data!$B:$B, 0)), "")</f>
        <v/>
      </c>
      <c r="I925" s="9" t="str">
        <f t="shared" si="1"/>
        <v/>
      </c>
      <c r="J925" s="9" t="str">
        <f t="shared" si="2"/>
        <v>#REF!</v>
      </c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12">
        <v>924.0</v>
      </c>
      <c r="B926" s="13"/>
      <c r="C926" s="9" t="str">
        <f t="array" ref="C926">IFERROR(INDEX(Data!F:F, MATCH($E926, Data!$B:$B, 0)), "")</f>
        <v/>
      </c>
      <c r="D926" s="9" t="str">
        <f t="array" ref="D926">IFERROR(INDEX(Data!A:A, MATCH($E926, Data!$B:$B, 0)), "")</f>
        <v/>
      </c>
      <c r="E926" s="9" t="str">
        <f>LARGE(Data!$B$2:$B1000,A926 )</f>
        <v>#NUM!</v>
      </c>
      <c r="F926" s="9" t="str">
        <f t="array" ref="F926">IFERROR(INDEX(Data!C:C, MATCH($E926, Data!$B:$B, 0)), "")</f>
        <v/>
      </c>
      <c r="G926" s="9" t="str">
        <f t="array" ref="G926">IFERROR(INDEX(Data!D:D, MATCH($E926, Data!$B:$B, 0)), "")</f>
        <v/>
      </c>
      <c r="H926" s="9" t="str">
        <f t="array" ref="H926">IFERROR(INDEX(Data!E:E, MATCH($E926, Data!$B:$B, 0)), "")</f>
        <v/>
      </c>
      <c r="I926" s="9" t="str">
        <f t="shared" si="1"/>
        <v/>
      </c>
      <c r="J926" s="9" t="str">
        <f t="shared" si="2"/>
        <v>#REF!</v>
      </c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12">
        <v>925.0</v>
      </c>
      <c r="B927" s="13"/>
      <c r="C927" s="9" t="str">
        <f t="array" ref="C927">IFERROR(INDEX(Data!F:F, MATCH($E927, Data!$B:$B, 0)), "")</f>
        <v/>
      </c>
      <c r="D927" s="9" t="str">
        <f t="array" ref="D927">IFERROR(INDEX(Data!A:A, MATCH($E927, Data!$B:$B, 0)), "")</f>
        <v/>
      </c>
      <c r="E927" s="9" t="str">
        <f>LARGE(Data!$B$2:$B1000,A927 )</f>
        <v>#NUM!</v>
      </c>
      <c r="F927" s="9" t="str">
        <f t="array" ref="F927">IFERROR(INDEX(Data!C:C, MATCH($E927, Data!$B:$B, 0)), "")</f>
        <v/>
      </c>
      <c r="G927" s="9" t="str">
        <f t="array" ref="G927">IFERROR(INDEX(Data!D:D, MATCH($E927, Data!$B:$B, 0)), "")</f>
        <v/>
      </c>
      <c r="H927" s="9" t="str">
        <f t="array" ref="H927">IFERROR(INDEX(Data!E:E, MATCH($E927, Data!$B:$B, 0)), "")</f>
        <v/>
      </c>
      <c r="I927" s="9" t="str">
        <f t="shared" si="1"/>
        <v/>
      </c>
      <c r="J927" s="9" t="str">
        <f t="shared" si="2"/>
        <v>#REF!</v>
      </c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12">
        <v>926.0</v>
      </c>
      <c r="B928" s="13"/>
      <c r="C928" s="9" t="str">
        <f t="array" ref="C928">IFERROR(INDEX(Data!F:F, MATCH($E928, Data!$B:$B, 0)), "")</f>
        <v/>
      </c>
      <c r="D928" s="9" t="str">
        <f t="array" ref="D928">IFERROR(INDEX(Data!A:A, MATCH($E928, Data!$B:$B, 0)), "")</f>
        <v/>
      </c>
      <c r="E928" s="9" t="str">
        <f>LARGE(Data!$B$2:$B1000,A928 )</f>
        <v>#NUM!</v>
      </c>
      <c r="F928" s="9" t="str">
        <f t="array" ref="F928">IFERROR(INDEX(Data!C:C, MATCH($E928, Data!$B:$B, 0)), "")</f>
        <v/>
      </c>
      <c r="G928" s="9" t="str">
        <f t="array" ref="G928">IFERROR(INDEX(Data!D:D, MATCH($E928, Data!$B:$B, 0)), "")</f>
        <v/>
      </c>
      <c r="H928" s="9" t="str">
        <f t="array" ref="H928">IFERROR(INDEX(Data!E:E, MATCH($E928, Data!$B:$B, 0)), "")</f>
        <v/>
      </c>
      <c r="I928" s="9" t="str">
        <f t="shared" si="1"/>
        <v/>
      </c>
      <c r="J928" s="9" t="str">
        <f t="shared" si="2"/>
        <v>#REF!</v>
      </c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12">
        <v>927.0</v>
      </c>
      <c r="B929" s="13"/>
      <c r="C929" s="9" t="str">
        <f t="array" ref="C929">IFERROR(INDEX(Data!F:F, MATCH($E929, Data!$B:$B, 0)), "")</f>
        <v/>
      </c>
      <c r="D929" s="9" t="str">
        <f t="array" ref="D929">IFERROR(INDEX(Data!A:A, MATCH($E929, Data!$B:$B, 0)), "")</f>
        <v/>
      </c>
      <c r="E929" s="9" t="str">
        <f>LARGE(Data!$B$2:$B1000,A929 )</f>
        <v>#NUM!</v>
      </c>
      <c r="F929" s="9" t="str">
        <f t="array" ref="F929">IFERROR(INDEX(Data!C:C, MATCH($E929, Data!$B:$B, 0)), "")</f>
        <v/>
      </c>
      <c r="G929" s="9" t="str">
        <f t="array" ref="G929">IFERROR(INDEX(Data!D:D, MATCH($E929, Data!$B:$B, 0)), "")</f>
        <v/>
      </c>
      <c r="H929" s="9" t="str">
        <f t="array" ref="H929">IFERROR(INDEX(Data!E:E, MATCH($E929, Data!$B:$B, 0)), "")</f>
        <v/>
      </c>
      <c r="I929" s="9" t="str">
        <f t="shared" si="1"/>
        <v/>
      </c>
      <c r="J929" s="9" t="str">
        <f t="shared" si="2"/>
        <v>#REF!</v>
      </c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12">
        <v>928.0</v>
      </c>
      <c r="B930" s="13"/>
      <c r="C930" s="9" t="str">
        <f t="array" ref="C930">IFERROR(INDEX(Data!F:F, MATCH($E930, Data!$B:$B, 0)), "")</f>
        <v/>
      </c>
      <c r="D930" s="9" t="str">
        <f t="array" ref="D930">IFERROR(INDEX(Data!A:A, MATCH($E930, Data!$B:$B, 0)), "")</f>
        <v/>
      </c>
      <c r="E930" s="9" t="str">
        <f>LARGE(Data!$B$2:$B1000,A930 )</f>
        <v>#NUM!</v>
      </c>
      <c r="F930" s="9" t="str">
        <f t="array" ref="F930">IFERROR(INDEX(Data!C:C, MATCH($E930, Data!$B:$B, 0)), "")</f>
        <v/>
      </c>
      <c r="G930" s="9" t="str">
        <f t="array" ref="G930">IFERROR(INDEX(Data!D:D, MATCH($E930, Data!$B:$B, 0)), "")</f>
        <v/>
      </c>
      <c r="H930" s="9" t="str">
        <f t="array" ref="H930">IFERROR(INDEX(Data!E:E, MATCH($E930, Data!$B:$B, 0)), "")</f>
        <v/>
      </c>
      <c r="I930" s="9" t="str">
        <f t="shared" si="1"/>
        <v/>
      </c>
      <c r="J930" s="9" t="str">
        <f t="shared" si="2"/>
        <v>#REF!</v>
      </c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12">
        <v>929.0</v>
      </c>
      <c r="B931" s="13"/>
      <c r="C931" s="9" t="str">
        <f t="array" ref="C931">IFERROR(INDEX(Data!F:F, MATCH($E931, Data!$B:$B, 0)), "")</f>
        <v/>
      </c>
      <c r="D931" s="9" t="str">
        <f t="array" ref="D931">IFERROR(INDEX(Data!A:A, MATCH($E931, Data!$B:$B, 0)), "")</f>
        <v/>
      </c>
      <c r="E931" s="9" t="str">
        <f>LARGE(Data!$B$2:$B1000,A931 )</f>
        <v>#NUM!</v>
      </c>
      <c r="F931" s="9" t="str">
        <f t="array" ref="F931">IFERROR(INDEX(Data!C:C, MATCH($E931, Data!$B:$B, 0)), "")</f>
        <v/>
      </c>
      <c r="G931" s="9" t="str">
        <f t="array" ref="G931">IFERROR(INDEX(Data!D:D, MATCH($E931, Data!$B:$B, 0)), "")</f>
        <v/>
      </c>
      <c r="H931" s="9" t="str">
        <f t="array" ref="H931">IFERROR(INDEX(Data!E:E, MATCH($E931, Data!$B:$B, 0)), "")</f>
        <v/>
      </c>
      <c r="I931" s="9" t="str">
        <f t="shared" si="1"/>
        <v/>
      </c>
      <c r="J931" s="9" t="str">
        <f t="shared" si="2"/>
        <v>#REF!</v>
      </c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12">
        <v>930.0</v>
      </c>
      <c r="B932" s="13"/>
      <c r="C932" s="9" t="str">
        <f t="array" ref="C932">IFERROR(INDEX(Data!F:F, MATCH($E932, Data!$B:$B, 0)), "")</f>
        <v/>
      </c>
      <c r="D932" s="9" t="str">
        <f t="array" ref="D932">IFERROR(INDEX(Data!A:A, MATCH($E932, Data!$B:$B, 0)), "")</f>
        <v/>
      </c>
      <c r="E932" s="9" t="str">
        <f>LARGE(Data!$B$2:$B1000,A932 )</f>
        <v>#NUM!</v>
      </c>
      <c r="F932" s="9" t="str">
        <f t="array" ref="F932">IFERROR(INDEX(Data!C:C, MATCH($E932, Data!$B:$B, 0)), "")</f>
        <v/>
      </c>
      <c r="G932" s="9" t="str">
        <f t="array" ref="G932">IFERROR(INDEX(Data!D:D, MATCH($E932, Data!$B:$B, 0)), "")</f>
        <v/>
      </c>
      <c r="H932" s="9" t="str">
        <f t="array" ref="H932">IFERROR(INDEX(Data!E:E, MATCH($E932, Data!$B:$B, 0)), "")</f>
        <v/>
      </c>
      <c r="I932" s="9" t="str">
        <f t="shared" si="1"/>
        <v/>
      </c>
      <c r="J932" s="9" t="str">
        <f t="shared" si="2"/>
        <v>#REF!</v>
      </c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12">
        <v>931.0</v>
      </c>
      <c r="B933" s="13"/>
      <c r="C933" s="9" t="str">
        <f t="array" ref="C933">IFERROR(INDEX(Data!F:F, MATCH($E933, Data!$B:$B, 0)), "")</f>
        <v/>
      </c>
      <c r="D933" s="9" t="str">
        <f t="array" ref="D933">IFERROR(INDEX(Data!A:A, MATCH($E933, Data!$B:$B, 0)), "")</f>
        <v/>
      </c>
      <c r="E933" s="9" t="str">
        <f>LARGE(Data!$B$2:$B1000,A933 )</f>
        <v>#NUM!</v>
      </c>
      <c r="F933" s="9" t="str">
        <f t="array" ref="F933">IFERROR(INDEX(Data!C:C, MATCH($E933, Data!$B:$B, 0)), "")</f>
        <v/>
      </c>
      <c r="G933" s="9" t="str">
        <f t="array" ref="G933">IFERROR(INDEX(Data!D:D, MATCH($E933, Data!$B:$B, 0)), "")</f>
        <v/>
      </c>
      <c r="H933" s="9" t="str">
        <f t="array" ref="H933">IFERROR(INDEX(Data!E:E, MATCH($E933, Data!$B:$B, 0)), "")</f>
        <v/>
      </c>
      <c r="I933" s="9" t="str">
        <f t="shared" si="1"/>
        <v/>
      </c>
      <c r="J933" s="9" t="str">
        <f t="shared" si="2"/>
        <v>#REF!</v>
      </c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12">
        <v>932.0</v>
      </c>
      <c r="B934" s="13"/>
      <c r="C934" s="9" t="str">
        <f t="array" ref="C934">IFERROR(INDEX(Data!F:F, MATCH($E934, Data!$B:$B, 0)), "")</f>
        <v/>
      </c>
      <c r="D934" s="9" t="str">
        <f t="array" ref="D934">IFERROR(INDEX(Data!A:A, MATCH($E934, Data!$B:$B, 0)), "")</f>
        <v/>
      </c>
      <c r="E934" s="9" t="str">
        <f>LARGE(Data!$B$2:$B1000,A934 )</f>
        <v>#NUM!</v>
      </c>
      <c r="F934" s="9" t="str">
        <f t="array" ref="F934">IFERROR(INDEX(Data!C:C, MATCH($E934, Data!$B:$B, 0)), "")</f>
        <v/>
      </c>
      <c r="G934" s="9" t="str">
        <f t="array" ref="G934">IFERROR(INDEX(Data!D:D, MATCH($E934, Data!$B:$B, 0)), "")</f>
        <v/>
      </c>
      <c r="H934" s="9" t="str">
        <f t="array" ref="H934">IFERROR(INDEX(Data!E:E, MATCH($E934, Data!$B:$B, 0)), "")</f>
        <v/>
      </c>
      <c r="I934" s="9" t="str">
        <f t="shared" si="1"/>
        <v/>
      </c>
      <c r="J934" s="9" t="str">
        <f t="shared" si="2"/>
        <v>#REF!</v>
      </c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12">
        <v>933.0</v>
      </c>
      <c r="B935" s="13"/>
      <c r="C935" s="9" t="str">
        <f t="array" ref="C935">IFERROR(INDEX(Data!F:F, MATCH($E935, Data!$B:$B, 0)), "")</f>
        <v/>
      </c>
      <c r="D935" s="9" t="str">
        <f t="array" ref="D935">IFERROR(INDEX(Data!A:A, MATCH($E935, Data!$B:$B, 0)), "")</f>
        <v/>
      </c>
      <c r="E935" s="9" t="str">
        <f>LARGE(Data!$B$2:$B1000,A935 )</f>
        <v>#NUM!</v>
      </c>
      <c r="F935" s="9" t="str">
        <f t="array" ref="F935">IFERROR(INDEX(Data!C:C, MATCH($E935, Data!$B:$B, 0)), "")</f>
        <v/>
      </c>
      <c r="G935" s="9" t="str">
        <f t="array" ref="G935">IFERROR(INDEX(Data!D:D, MATCH($E935, Data!$B:$B, 0)), "")</f>
        <v/>
      </c>
      <c r="H935" s="9" t="str">
        <f t="array" ref="H935">IFERROR(INDEX(Data!E:E, MATCH($E935, Data!$B:$B, 0)), "")</f>
        <v/>
      </c>
      <c r="I935" s="9" t="str">
        <f t="shared" si="1"/>
        <v/>
      </c>
      <c r="J935" s="9" t="str">
        <f t="shared" si="2"/>
        <v>#REF!</v>
      </c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12">
        <v>934.0</v>
      </c>
      <c r="B936" s="13"/>
      <c r="C936" s="9" t="str">
        <f t="array" ref="C936">IFERROR(INDEX(Data!F:F, MATCH($E936, Data!$B:$B, 0)), "")</f>
        <v/>
      </c>
      <c r="D936" s="9" t="str">
        <f t="array" ref="D936">IFERROR(INDEX(Data!A:A, MATCH($E936, Data!$B:$B, 0)), "")</f>
        <v/>
      </c>
      <c r="E936" s="9" t="str">
        <f>LARGE(Data!$B$2:$B1000,A936 )</f>
        <v>#NUM!</v>
      </c>
      <c r="F936" s="9" t="str">
        <f t="array" ref="F936">IFERROR(INDEX(Data!C:C, MATCH($E936, Data!$B:$B, 0)), "")</f>
        <v/>
      </c>
      <c r="G936" s="9" t="str">
        <f t="array" ref="G936">IFERROR(INDEX(Data!D:D, MATCH($E936, Data!$B:$B, 0)), "")</f>
        <v/>
      </c>
      <c r="H936" s="9" t="str">
        <f t="array" ref="H936">IFERROR(INDEX(Data!E:E, MATCH($E936, Data!$B:$B, 0)), "")</f>
        <v/>
      </c>
      <c r="I936" s="9" t="str">
        <f t="shared" si="1"/>
        <v/>
      </c>
      <c r="J936" s="9" t="str">
        <f t="shared" si="2"/>
        <v>#REF!</v>
      </c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12">
        <v>935.0</v>
      </c>
      <c r="B937" s="13"/>
      <c r="C937" s="9" t="str">
        <f t="array" ref="C937">IFERROR(INDEX(Data!F:F, MATCH($E937, Data!$B:$B, 0)), "")</f>
        <v/>
      </c>
      <c r="D937" s="9" t="str">
        <f t="array" ref="D937">IFERROR(INDEX(Data!A:A, MATCH($E937, Data!$B:$B, 0)), "")</f>
        <v/>
      </c>
      <c r="E937" s="9" t="str">
        <f>LARGE(Data!$B$2:$B1000,A937 )</f>
        <v>#NUM!</v>
      </c>
      <c r="F937" s="9" t="str">
        <f t="array" ref="F937">IFERROR(INDEX(Data!C:C, MATCH($E937, Data!$B:$B, 0)), "")</f>
        <v/>
      </c>
      <c r="G937" s="9" t="str">
        <f t="array" ref="G937">IFERROR(INDEX(Data!D:D, MATCH($E937, Data!$B:$B, 0)), "")</f>
        <v/>
      </c>
      <c r="H937" s="9" t="str">
        <f t="array" ref="H937">IFERROR(INDEX(Data!E:E, MATCH($E937, Data!$B:$B, 0)), "")</f>
        <v/>
      </c>
      <c r="I937" s="9" t="str">
        <f t="shared" si="1"/>
        <v/>
      </c>
      <c r="J937" s="9" t="str">
        <f t="shared" si="2"/>
        <v>#REF!</v>
      </c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12">
        <v>936.0</v>
      </c>
      <c r="B938" s="13"/>
      <c r="C938" s="9" t="str">
        <f t="array" ref="C938">IFERROR(INDEX(Data!F:F, MATCH($E938, Data!$B:$B, 0)), "")</f>
        <v/>
      </c>
      <c r="D938" s="9" t="str">
        <f t="array" ref="D938">IFERROR(INDEX(Data!A:A, MATCH($E938, Data!$B:$B, 0)), "")</f>
        <v/>
      </c>
      <c r="E938" s="9" t="str">
        <f>LARGE(Data!$B$2:$B1000,A938 )</f>
        <v>#NUM!</v>
      </c>
      <c r="F938" s="9" t="str">
        <f t="array" ref="F938">IFERROR(INDEX(Data!C:C, MATCH($E938, Data!$B:$B, 0)), "")</f>
        <v/>
      </c>
      <c r="G938" s="9" t="str">
        <f t="array" ref="G938">IFERROR(INDEX(Data!D:D, MATCH($E938, Data!$B:$B, 0)), "")</f>
        <v/>
      </c>
      <c r="H938" s="9" t="str">
        <f t="array" ref="H938">IFERROR(INDEX(Data!E:E, MATCH($E938, Data!$B:$B, 0)), "")</f>
        <v/>
      </c>
      <c r="I938" s="9" t="str">
        <f t="shared" si="1"/>
        <v/>
      </c>
      <c r="J938" s="9" t="str">
        <f t="shared" si="2"/>
        <v>#REF!</v>
      </c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12">
        <v>937.0</v>
      </c>
      <c r="B939" s="13"/>
      <c r="C939" s="9" t="str">
        <f t="array" ref="C939">IFERROR(INDEX(Data!F:F, MATCH($E939, Data!$B:$B, 0)), "")</f>
        <v/>
      </c>
      <c r="D939" s="9" t="str">
        <f t="array" ref="D939">IFERROR(INDEX(Data!A:A, MATCH($E939, Data!$B:$B, 0)), "")</f>
        <v/>
      </c>
      <c r="E939" s="9" t="str">
        <f>LARGE(Data!$B$2:$B1000,A939 )</f>
        <v>#NUM!</v>
      </c>
      <c r="F939" s="9" t="str">
        <f t="array" ref="F939">IFERROR(INDEX(Data!C:C, MATCH($E939, Data!$B:$B, 0)), "")</f>
        <v/>
      </c>
      <c r="G939" s="9" t="str">
        <f t="array" ref="G939">IFERROR(INDEX(Data!D:D, MATCH($E939, Data!$B:$B, 0)), "")</f>
        <v/>
      </c>
      <c r="H939" s="9" t="str">
        <f t="array" ref="H939">IFERROR(INDEX(Data!E:E, MATCH($E939, Data!$B:$B, 0)), "")</f>
        <v/>
      </c>
      <c r="I939" s="9" t="str">
        <f t="shared" si="1"/>
        <v/>
      </c>
      <c r="J939" s="9" t="str">
        <f t="shared" si="2"/>
        <v>#REF!</v>
      </c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12">
        <v>938.0</v>
      </c>
      <c r="B940" s="13"/>
      <c r="C940" s="9" t="str">
        <f t="array" ref="C940">IFERROR(INDEX(Data!F:F, MATCH($E940, Data!$B:$B, 0)), "")</f>
        <v/>
      </c>
      <c r="D940" s="9" t="str">
        <f t="array" ref="D940">IFERROR(INDEX(Data!A:A, MATCH($E940, Data!$B:$B, 0)), "")</f>
        <v/>
      </c>
      <c r="E940" s="9" t="str">
        <f>LARGE(Data!$B$2:$B1000,A940 )</f>
        <v>#NUM!</v>
      </c>
      <c r="F940" s="9" t="str">
        <f t="array" ref="F940">IFERROR(INDEX(Data!C:C, MATCH($E940, Data!$B:$B, 0)), "")</f>
        <v/>
      </c>
      <c r="G940" s="9" t="str">
        <f t="array" ref="G940">IFERROR(INDEX(Data!D:D, MATCH($E940, Data!$B:$B, 0)), "")</f>
        <v/>
      </c>
      <c r="H940" s="9" t="str">
        <f t="array" ref="H940">IFERROR(INDEX(Data!E:E, MATCH($E940, Data!$B:$B, 0)), "")</f>
        <v/>
      </c>
      <c r="I940" s="9" t="str">
        <f t="shared" si="1"/>
        <v/>
      </c>
      <c r="J940" s="9" t="str">
        <f t="shared" si="2"/>
        <v>#REF!</v>
      </c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12">
        <v>939.0</v>
      </c>
      <c r="B941" s="13"/>
      <c r="C941" s="9" t="str">
        <f t="array" ref="C941">IFERROR(INDEX(Data!F:F, MATCH($E941, Data!$B:$B, 0)), "")</f>
        <v/>
      </c>
      <c r="D941" s="9" t="str">
        <f t="array" ref="D941">IFERROR(INDEX(Data!A:A, MATCH($E941, Data!$B:$B, 0)), "")</f>
        <v/>
      </c>
      <c r="E941" s="9" t="str">
        <f>LARGE(Data!$B$2:$B1000,A941 )</f>
        <v>#NUM!</v>
      </c>
      <c r="F941" s="9" t="str">
        <f t="array" ref="F941">IFERROR(INDEX(Data!C:C, MATCH($E941, Data!$B:$B, 0)), "")</f>
        <v/>
      </c>
      <c r="G941" s="9" t="str">
        <f t="array" ref="G941">IFERROR(INDEX(Data!D:D, MATCH($E941, Data!$B:$B, 0)), "")</f>
        <v/>
      </c>
      <c r="H941" s="9" t="str">
        <f t="array" ref="H941">IFERROR(INDEX(Data!E:E, MATCH($E941, Data!$B:$B, 0)), "")</f>
        <v/>
      </c>
      <c r="I941" s="9" t="str">
        <f t="shared" si="1"/>
        <v/>
      </c>
      <c r="J941" s="9" t="str">
        <f t="shared" si="2"/>
        <v>#REF!</v>
      </c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12">
        <v>940.0</v>
      </c>
      <c r="B942" s="13"/>
      <c r="C942" s="9" t="str">
        <f t="array" ref="C942">IFERROR(INDEX(Data!F:F, MATCH($E942, Data!$B:$B, 0)), "")</f>
        <v/>
      </c>
      <c r="D942" s="9" t="str">
        <f t="array" ref="D942">IFERROR(INDEX(Data!A:A, MATCH($E942, Data!$B:$B, 0)), "")</f>
        <v/>
      </c>
      <c r="E942" s="9" t="str">
        <f>LARGE(Data!$B$2:$B1000,A942 )</f>
        <v>#NUM!</v>
      </c>
      <c r="F942" s="9" t="str">
        <f t="array" ref="F942">IFERROR(INDEX(Data!C:C, MATCH($E942, Data!$B:$B, 0)), "")</f>
        <v/>
      </c>
      <c r="G942" s="9" t="str">
        <f t="array" ref="G942">IFERROR(INDEX(Data!D:D, MATCH($E942, Data!$B:$B, 0)), "")</f>
        <v/>
      </c>
      <c r="H942" s="9" t="str">
        <f t="array" ref="H942">IFERROR(INDEX(Data!E:E, MATCH($E942, Data!$B:$B, 0)), "")</f>
        <v/>
      </c>
      <c r="I942" s="9" t="str">
        <f t="shared" si="1"/>
        <v/>
      </c>
      <c r="J942" s="9" t="str">
        <f t="shared" si="2"/>
        <v>#REF!</v>
      </c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12">
        <v>941.0</v>
      </c>
      <c r="B943" s="13"/>
      <c r="C943" s="9" t="str">
        <f t="array" ref="C943">IFERROR(INDEX(Data!F:F, MATCH($E943, Data!$B:$B, 0)), "")</f>
        <v/>
      </c>
      <c r="D943" s="9" t="str">
        <f t="array" ref="D943">IFERROR(INDEX(Data!A:A, MATCH($E943, Data!$B:$B, 0)), "")</f>
        <v/>
      </c>
      <c r="E943" s="9" t="str">
        <f>LARGE(Data!$B$2:$B1000,A943 )</f>
        <v>#NUM!</v>
      </c>
      <c r="F943" s="9" t="str">
        <f t="array" ref="F943">IFERROR(INDEX(Data!C:C, MATCH($E943, Data!$B:$B, 0)), "")</f>
        <v/>
      </c>
      <c r="G943" s="9" t="str">
        <f t="array" ref="G943">IFERROR(INDEX(Data!D:D, MATCH($E943, Data!$B:$B, 0)), "")</f>
        <v/>
      </c>
      <c r="H943" s="9" t="str">
        <f t="array" ref="H943">IFERROR(INDEX(Data!E:E, MATCH($E943, Data!$B:$B, 0)), "")</f>
        <v/>
      </c>
      <c r="I943" s="9" t="str">
        <f t="shared" si="1"/>
        <v/>
      </c>
      <c r="J943" s="9" t="str">
        <f t="shared" si="2"/>
        <v>#REF!</v>
      </c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12">
        <v>942.0</v>
      </c>
      <c r="B944" s="13"/>
      <c r="C944" s="9" t="str">
        <f t="array" ref="C944">IFERROR(INDEX(Data!F:F, MATCH($E944, Data!$B:$B, 0)), "")</f>
        <v/>
      </c>
      <c r="D944" s="9" t="str">
        <f t="array" ref="D944">IFERROR(INDEX(Data!A:A, MATCH($E944, Data!$B:$B, 0)), "")</f>
        <v/>
      </c>
      <c r="E944" s="9" t="str">
        <f>LARGE(Data!$B$2:$B1000,A944 )</f>
        <v>#NUM!</v>
      </c>
      <c r="F944" s="9" t="str">
        <f t="array" ref="F944">IFERROR(INDEX(Data!C:C, MATCH($E944, Data!$B:$B, 0)), "")</f>
        <v/>
      </c>
      <c r="G944" s="9" t="str">
        <f t="array" ref="G944">IFERROR(INDEX(Data!D:D, MATCH($E944, Data!$B:$B, 0)), "")</f>
        <v/>
      </c>
      <c r="H944" s="9" t="str">
        <f t="array" ref="H944">IFERROR(INDEX(Data!E:E, MATCH($E944, Data!$B:$B, 0)), "")</f>
        <v/>
      </c>
      <c r="I944" s="9" t="str">
        <f t="shared" si="1"/>
        <v/>
      </c>
      <c r="J944" s="9" t="str">
        <f t="shared" si="2"/>
        <v>#REF!</v>
      </c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12">
        <v>943.0</v>
      </c>
      <c r="B945" s="13"/>
      <c r="C945" s="9" t="str">
        <f t="array" ref="C945">IFERROR(INDEX(Data!F:F, MATCH($E945, Data!$B:$B, 0)), "")</f>
        <v/>
      </c>
      <c r="D945" s="9" t="str">
        <f t="array" ref="D945">IFERROR(INDEX(Data!A:A, MATCH($E945, Data!$B:$B, 0)), "")</f>
        <v/>
      </c>
      <c r="E945" s="9" t="str">
        <f>LARGE(Data!$B$2:$B1000,A945 )</f>
        <v>#NUM!</v>
      </c>
      <c r="F945" s="9" t="str">
        <f t="array" ref="F945">IFERROR(INDEX(Data!C:C, MATCH($E945, Data!$B:$B, 0)), "")</f>
        <v/>
      </c>
      <c r="G945" s="9" t="str">
        <f t="array" ref="G945">IFERROR(INDEX(Data!D:D, MATCH($E945, Data!$B:$B, 0)), "")</f>
        <v/>
      </c>
      <c r="H945" s="9" t="str">
        <f t="array" ref="H945">IFERROR(INDEX(Data!E:E, MATCH($E945, Data!$B:$B, 0)), "")</f>
        <v/>
      </c>
      <c r="I945" s="9" t="str">
        <f t="shared" si="1"/>
        <v/>
      </c>
      <c r="J945" s="9" t="str">
        <f t="shared" si="2"/>
        <v>#REF!</v>
      </c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12">
        <v>944.0</v>
      </c>
      <c r="B946" s="13"/>
      <c r="C946" s="9" t="str">
        <f t="array" ref="C946">IFERROR(INDEX(Data!F:F, MATCH($E946, Data!$B:$B, 0)), "")</f>
        <v/>
      </c>
      <c r="D946" s="9" t="str">
        <f t="array" ref="D946">IFERROR(INDEX(Data!A:A, MATCH($E946, Data!$B:$B, 0)), "")</f>
        <v/>
      </c>
      <c r="E946" s="9" t="str">
        <f>LARGE(Data!$B$2:$B1000,A946 )</f>
        <v>#NUM!</v>
      </c>
      <c r="F946" s="9" t="str">
        <f t="array" ref="F946">IFERROR(INDEX(Data!C:C, MATCH($E946, Data!$B:$B, 0)), "")</f>
        <v/>
      </c>
      <c r="G946" s="9" t="str">
        <f t="array" ref="G946">IFERROR(INDEX(Data!D:D, MATCH($E946, Data!$B:$B, 0)), "")</f>
        <v/>
      </c>
      <c r="H946" s="9" t="str">
        <f t="array" ref="H946">IFERROR(INDEX(Data!E:E, MATCH($E946, Data!$B:$B, 0)), "")</f>
        <v/>
      </c>
      <c r="I946" s="9" t="str">
        <f t="shared" si="1"/>
        <v/>
      </c>
      <c r="J946" s="9" t="str">
        <f t="shared" si="2"/>
        <v>#REF!</v>
      </c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12">
        <v>945.0</v>
      </c>
      <c r="B947" s="13"/>
      <c r="C947" s="9" t="str">
        <f t="array" ref="C947">IFERROR(INDEX(Data!F:F, MATCH($E947, Data!$B:$B, 0)), "")</f>
        <v/>
      </c>
      <c r="D947" s="9" t="str">
        <f t="array" ref="D947">IFERROR(INDEX(Data!A:A, MATCH($E947, Data!$B:$B, 0)), "")</f>
        <v/>
      </c>
      <c r="E947" s="9" t="str">
        <f>LARGE(Data!$B$2:$B1000,A947 )</f>
        <v>#NUM!</v>
      </c>
      <c r="F947" s="9" t="str">
        <f t="array" ref="F947">IFERROR(INDEX(Data!C:C, MATCH($E947, Data!$B:$B, 0)), "")</f>
        <v/>
      </c>
      <c r="G947" s="9" t="str">
        <f t="array" ref="G947">IFERROR(INDEX(Data!D:D, MATCH($E947, Data!$B:$B, 0)), "")</f>
        <v/>
      </c>
      <c r="H947" s="9" t="str">
        <f t="array" ref="H947">IFERROR(INDEX(Data!E:E, MATCH($E947, Data!$B:$B, 0)), "")</f>
        <v/>
      </c>
      <c r="I947" s="9" t="str">
        <f t="shared" si="1"/>
        <v/>
      </c>
      <c r="J947" s="9" t="str">
        <f t="shared" si="2"/>
        <v>#REF!</v>
      </c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12">
        <v>946.0</v>
      </c>
      <c r="B948" s="13"/>
      <c r="C948" s="9" t="str">
        <f t="array" ref="C948">IFERROR(INDEX(Data!F:F, MATCH($E948, Data!$B:$B, 0)), "")</f>
        <v/>
      </c>
      <c r="D948" s="9" t="str">
        <f t="array" ref="D948">IFERROR(INDEX(Data!A:A, MATCH($E948, Data!$B:$B, 0)), "")</f>
        <v/>
      </c>
      <c r="E948" s="9" t="str">
        <f>LARGE(Data!$B$2:$B1000,A948 )</f>
        <v>#NUM!</v>
      </c>
      <c r="F948" s="9" t="str">
        <f t="array" ref="F948">IFERROR(INDEX(Data!C:C, MATCH($E948, Data!$B:$B, 0)), "")</f>
        <v/>
      </c>
      <c r="G948" s="9" t="str">
        <f t="array" ref="G948">IFERROR(INDEX(Data!D:D, MATCH($E948, Data!$B:$B, 0)), "")</f>
        <v/>
      </c>
      <c r="H948" s="9" t="str">
        <f t="array" ref="H948">IFERROR(INDEX(Data!E:E, MATCH($E948, Data!$B:$B, 0)), "")</f>
        <v/>
      </c>
      <c r="I948" s="9" t="str">
        <f t="shared" si="1"/>
        <v/>
      </c>
      <c r="J948" s="9" t="str">
        <f t="shared" si="2"/>
        <v>#REF!</v>
      </c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12">
        <v>947.0</v>
      </c>
      <c r="B949" s="13"/>
      <c r="C949" s="9" t="str">
        <f t="array" ref="C949">IFERROR(INDEX(Data!F:F, MATCH($E949, Data!$B:$B, 0)), "")</f>
        <v/>
      </c>
      <c r="D949" s="9" t="str">
        <f t="array" ref="D949">IFERROR(INDEX(Data!A:A, MATCH($E949, Data!$B:$B, 0)), "")</f>
        <v/>
      </c>
      <c r="E949" s="9" t="str">
        <f>LARGE(Data!$B$2:$B1000,A949 )</f>
        <v>#NUM!</v>
      </c>
      <c r="F949" s="9" t="str">
        <f t="array" ref="F949">IFERROR(INDEX(Data!C:C, MATCH($E949, Data!$B:$B, 0)), "")</f>
        <v/>
      </c>
      <c r="G949" s="9" t="str">
        <f t="array" ref="G949">IFERROR(INDEX(Data!D:D, MATCH($E949, Data!$B:$B, 0)), "")</f>
        <v/>
      </c>
      <c r="H949" s="9" t="str">
        <f t="array" ref="H949">IFERROR(INDEX(Data!E:E, MATCH($E949, Data!$B:$B, 0)), "")</f>
        <v/>
      </c>
      <c r="I949" s="9" t="str">
        <f t="shared" si="1"/>
        <v/>
      </c>
      <c r="J949" s="9" t="str">
        <f t="shared" si="2"/>
        <v>#REF!</v>
      </c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12">
        <v>948.0</v>
      </c>
      <c r="B950" s="13"/>
      <c r="C950" s="9" t="str">
        <f t="array" ref="C950">IFERROR(INDEX(Data!F:F, MATCH($E950, Data!$B:$B, 0)), "")</f>
        <v/>
      </c>
      <c r="D950" s="9" t="str">
        <f t="array" ref="D950">IFERROR(INDEX(Data!A:A, MATCH($E950, Data!$B:$B, 0)), "")</f>
        <v/>
      </c>
      <c r="E950" s="9" t="str">
        <f>LARGE(Data!$B$2:$B1000,A950 )</f>
        <v>#NUM!</v>
      </c>
      <c r="F950" s="9" t="str">
        <f t="array" ref="F950">IFERROR(INDEX(Data!C:C, MATCH($E950, Data!$B:$B, 0)), "")</f>
        <v/>
      </c>
      <c r="G950" s="9" t="str">
        <f t="array" ref="G950">IFERROR(INDEX(Data!D:D, MATCH($E950, Data!$B:$B, 0)), "")</f>
        <v/>
      </c>
      <c r="H950" s="9" t="str">
        <f t="array" ref="H950">IFERROR(INDEX(Data!E:E, MATCH($E950, Data!$B:$B, 0)), "")</f>
        <v/>
      </c>
      <c r="I950" s="9" t="str">
        <f t="shared" si="1"/>
        <v/>
      </c>
      <c r="J950" s="9" t="str">
        <f t="shared" si="2"/>
        <v>#REF!</v>
      </c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12">
        <v>949.0</v>
      </c>
      <c r="B951" s="13"/>
      <c r="C951" s="9" t="str">
        <f t="array" ref="C951">IFERROR(INDEX(Data!F:F, MATCH($E951, Data!$B:$B, 0)), "")</f>
        <v/>
      </c>
      <c r="D951" s="9" t="str">
        <f t="array" ref="D951">IFERROR(INDEX(Data!A:A, MATCH($E951, Data!$B:$B, 0)), "")</f>
        <v/>
      </c>
      <c r="E951" s="9" t="str">
        <f>LARGE(Data!$B$2:$B1000,A951 )</f>
        <v>#NUM!</v>
      </c>
      <c r="F951" s="9" t="str">
        <f t="array" ref="F951">IFERROR(INDEX(Data!C:C, MATCH($E951, Data!$B:$B, 0)), "")</f>
        <v/>
      </c>
      <c r="G951" s="9" t="str">
        <f t="array" ref="G951">IFERROR(INDEX(Data!D:D, MATCH($E951, Data!$B:$B, 0)), "")</f>
        <v/>
      </c>
      <c r="H951" s="9" t="str">
        <f t="array" ref="H951">IFERROR(INDEX(Data!E:E, MATCH($E951, Data!$B:$B, 0)), "")</f>
        <v/>
      </c>
      <c r="I951" s="9" t="str">
        <f t="shared" si="1"/>
        <v/>
      </c>
      <c r="J951" s="9" t="str">
        <f t="shared" si="2"/>
        <v>#REF!</v>
      </c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12">
        <v>950.0</v>
      </c>
      <c r="B952" s="13"/>
      <c r="C952" s="9" t="str">
        <f t="array" ref="C952">IFERROR(INDEX(Data!F:F, MATCH($E952, Data!$B:$B, 0)), "")</f>
        <v/>
      </c>
      <c r="D952" s="9" t="str">
        <f t="array" ref="D952">IFERROR(INDEX(Data!A:A, MATCH($E952, Data!$B:$B, 0)), "")</f>
        <v/>
      </c>
      <c r="E952" s="9" t="str">
        <f>LARGE(Data!$B$2:$B1000,A952 )</f>
        <v>#NUM!</v>
      </c>
      <c r="F952" s="9" t="str">
        <f t="array" ref="F952">IFERROR(INDEX(Data!C:C, MATCH($E952, Data!$B:$B, 0)), "")</f>
        <v/>
      </c>
      <c r="G952" s="9" t="str">
        <f t="array" ref="G952">IFERROR(INDEX(Data!D:D, MATCH($E952, Data!$B:$B, 0)), "")</f>
        <v/>
      </c>
      <c r="H952" s="9" t="str">
        <f t="array" ref="H952">IFERROR(INDEX(Data!E:E, MATCH($E952, Data!$B:$B, 0)), "")</f>
        <v/>
      </c>
      <c r="I952" s="9" t="str">
        <f t="shared" si="1"/>
        <v/>
      </c>
      <c r="J952" s="9" t="str">
        <f t="shared" si="2"/>
        <v>#REF!</v>
      </c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12">
        <v>951.0</v>
      </c>
      <c r="B953" s="13"/>
      <c r="C953" s="9" t="str">
        <f t="array" ref="C953">IFERROR(INDEX(Data!F:F, MATCH($E953, Data!$B:$B, 0)), "")</f>
        <v/>
      </c>
      <c r="D953" s="9" t="str">
        <f t="array" ref="D953">IFERROR(INDEX(Data!A:A, MATCH($E953, Data!$B:$B, 0)), "")</f>
        <v/>
      </c>
      <c r="E953" s="9" t="str">
        <f>LARGE(Data!$B$2:$B1000,A953 )</f>
        <v>#NUM!</v>
      </c>
      <c r="F953" s="9" t="str">
        <f t="array" ref="F953">IFERROR(INDEX(Data!C:C, MATCH($E953, Data!$B:$B, 0)), "")</f>
        <v/>
      </c>
      <c r="G953" s="9" t="str">
        <f t="array" ref="G953">IFERROR(INDEX(Data!D:D, MATCH($E953, Data!$B:$B, 0)), "")</f>
        <v/>
      </c>
      <c r="H953" s="9" t="str">
        <f t="array" ref="H953">IFERROR(INDEX(Data!E:E, MATCH($E953, Data!$B:$B, 0)), "")</f>
        <v/>
      </c>
      <c r="I953" s="9" t="str">
        <f t="shared" si="1"/>
        <v/>
      </c>
      <c r="J953" s="9" t="str">
        <f t="shared" si="2"/>
        <v>#REF!</v>
      </c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12">
        <v>952.0</v>
      </c>
      <c r="B954" s="13"/>
      <c r="C954" s="9" t="str">
        <f t="array" ref="C954">IFERROR(INDEX(Data!F:F, MATCH($E954, Data!$B:$B, 0)), "")</f>
        <v/>
      </c>
      <c r="D954" s="9" t="str">
        <f t="array" ref="D954">IFERROR(INDEX(Data!A:A, MATCH($E954, Data!$B:$B, 0)), "")</f>
        <v/>
      </c>
      <c r="E954" s="9" t="str">
        <f>LARGE(Data!$B$2:$B1000,A954 )</f>
        <v>#NUM!</v>
      </c>
      <c r="F954" s="9" t="str">
        <f t="array" ref="F954">IFERROR(INDEX(Data!C:C, MATCH($E954, Data!$B:$B, 0)), "")</f>
        <v/>
      </c>
      <c r="G954" s="9" t="str">
        <f t="array" ref="G954">IFERROR(INDEX(Data!D:D, MATCH($E954, Data!$B:$B, 0)), "")</f>
        <v/>
      </c>
      <c r="H954" s="9" t="str">
        <f t="array" ref="H954">IFERROR(INDEX(Data!E:E, MATCH($E954, Data!$B:$B, 0)), "")</f>
        <v/>
      </c>
      <c r="I954" s="9" t="str">
        <f t="shared" si="1"/>
        <v/>
      </c>
      <c r="J954" s="9" t="str">
        <f t="shared" si="2"/>
        <v>#REF!</v>
      </c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12">
        <v>953.0</v>
      </c>
      <c r="B955" s="13"/>
      <c r="C955" s="9" t="str">
        <f t="array" ref="C955">IFERROR(INDEX(Data!F:F, MATCH($E955, Data!$B:$B, 0)), "")</f>
        <v/>
      </c>
      <c r="D955" s="9" t="str">
        <f t="array" ref="D955">IFERROR(INDEX(Data!A:A, MATCH($E955, Data!$B:$B, 0)), "")</f>
        <v/>
      </c>
      <c r="E955" s="9" t="str">
        <f>LARGE(Data!$B$2:$B1000,A955 )</f>
        <v>#NUM!</v>
      </c>
      <c r="F955" s="9" t="str">
        <f t="array" ref="F955">IFERROR(INDEX(Data!C:C, MATCH($E955, Data!$B:$B, 0)), "")</f>
        <v/>
      </c>
      <c r="G955" s="9" t="str">
        <f t="array" ref="G955">IFERROR(INDEX(Data!D:D, MATCH($E955, Data!$B:$B, 0)), "")</f>
        <v/>
      </c>
      <c r="H955" s="9" t="str">
        <f t="array" ref="H955">IFERROR(INDEX(Data!E:E, MATCH($E955, Data!$B:$B, 0)), "")</f>
        <v/>
      </c>
      <c r="I955" s="9" t="str">
        <f t="shared" si="1"/>
        <v/>
      </c>
      <c r="J955" s="9" t="str">
        <f t="shared" si="2"/>
        <v>#REF!</v>
      </c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12">
        <v>954.0</v>
      </c>
      <c r="B956" s="13"/>
      <c r="C956" s="9" t="str">
        <f t="array" ref="C956">IFERROR(INDEX(Data!F:F, MATCH($E956, Data!$B:$B, 0)), "")</f>
        <v/>
      </c>
      <c r="D956" s="9" t="str">
        <f t="array" ref="D956">IFERROR(INDEX(Data!A:A, MATCH($E956, Data!$B:$B, 0)), "")</f>
        <v/>
      </c>
      <c r="E956" s="9" t="str">
        <f>LARGE(Data!$B$2:$B1000,A956 )</f>
        <v>#NUM!</v>
      </c>
      <c r="F956" s="9" t="str">
        <f t="array" ref="F956">IFERROR(INDEX(Data!C:C, MATCH($E956, Data!$B:$B, 0)), "")</f>
        <v/>
      </c>
      <c r="G956" s="9" t="str">
        <f t="array" ref="G956">IFERROR(INDEX(Data!D:D, MATCH($E956, Data!$B:$B, 0)), "")</f>
        <v/>
      </c>
      <c r="H956" s="9" t="str">
        <f t="array" ref="H956">IFERROR(INDEX(Data!E:E, MATCH($E956, Data!$B:$B, 0)), "")</f>
        <v/>
      </c>
      <c r="I956" s="9" t="str">
        <f t="shared" si="1"/>
        <v/>
      </c>
      <c r="J956" s="9" t="str">
        <f t="shared" si="2"/>
        <v>#REF!</v>
      </c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12">
        <v>955.0</v>
      </c>
      <c r="B957" s="13"/>
      <c r="C957" s="9" t="str">
        <f t="array" ref="C957">IFERROR(INDEX(Data!F:F, MATCH($E957, Data!$B:$B, 0)), "")</f>
        <v/>
      </c>
      <c r="D957" s="9" t="str">
        <f t="array" ref="D957">IFERROR(INDEX(Data!A:A, MATCH($E957, Data!$B:$B, 0)), "")</f>
        <v/>
      </c>
      <c r="E957" s="9" t="str">
        <f>LARGE(Data!$B$2:$B1000,A957 )</f>
        <v>#NUM!</v>
      </c>
      <c r="F957" s="9" t="str">
        <f t="array" ref="F957">IFERROR(INDEX(Data!C:C, MATCH($E957, Data!$B:$B, 0)), "")</f>
        <v/>
      </c>
      <c r="G957" s="9" t="str">
        <f t="array" ref="G957">IFERROR(INDEX(Data!D:D, MATCH($E957, Data!$B:$B, 0)), "")</f>
        <v/>
      </c>
      <c r="H957" s="9" t="str">
        <f t="array" ref="H957">IFERROR(INDEX(Data!E:E, MATCH($E957, Data!$B:$B, 0)), "")</f>
        <v/>
      </c>
      <c r="I957" s="9" t="str">
        <f t="shared" si="1"/>
        <v/>
      </c>
      <c r="J957" s="9" t="str">
        <f t="shared" si="2"/>
        <v>#REF!</v>
      </c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12">
        <v>956.0</v>
      </c>
      <c r="B958" s="13"/>
      <c r="C958" s="9" t="str">
        <f t="array" ref="C958">IFERROR(INDEX(Data!F:F, MATCH($E958, Data!$B:$B, 0)), "")</f>
        <v/>
      </c>
      <c r="D958" s="9" t="str">
        <f t="array" ref="D958">IFERROR(INDEX(Data!A:A, MATCH($E958, Data!$B:$B, 0)), "")</f>
        <v/>
      </c>
      <c r="E958" s="9" t="str">
        <f>LARGE(Data!$B$2:$B1000,A958 )</f>
        <v>#NUM!</v>
      </c>
      <c r="F958" s="9" t="str">
        <f t="array" ref="F958">IFERROR(INDEX(Data!C:C, MATCH($E958, Data!$B:$B, 0)), "")</f>
        <v/>
      </c>
      <c r="G958" s="9" t="str">
        <f t="array" ref="G958">IFERROR(INDEX(Data!D:D, MATCH($E958, Data!$B:$B, 0)), "")</f>
        <v/>
      </c>
      <c r="H958" s="9" t="str">
        <f t="array" ref="H958">IFERROR(INDEX(Data!E:E, MATCH($E958, Data!$B:$B, 0)), "")</f>
        <v/>
      </c>
      <c r="I958" s="9" t="str">
        <f t="shared" si="1"/>
        <v/>
      </c>
      <c r="J958" s="9" t="str">
        <f t="shared" si="2"/>
        <v>#REF!</v>
      </c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12">
        <v>957.0</v>
      </c>
      <c r="B959" s="13"/>
      <c r="C959" s="9" t="str">
        <f t="array" ref="C959">IFERROR(INDEX(Data!F:F, MATCH($E959, Data!$B:$B, 0)), "")</f>
        <v/>
      </c>
      <c r="D959" s="9" t="str">
        <f t="array" ref="D959">IFERROR(INDEX(Data!A:A, MATCH($E959, Data!$B:$B, 0)), "")</f>
        <v/>
      </c>
      <c r="E959" s="9" t="str">
        <f>LARGE(Data!$B$2:$B1000,A959 )</f>
        <v>#NUM!</v>
      </c>
      <c r="F959" s="9" t="str">
        <f t="array" ref="F959">IFERROR(INDEX(Data!C:C, MATCH($E959, Data!$B:$B, 0)), "")</f>
        <v/>
      </c>
      <c r="G959" s="9" t="str">
        <f t="array" ref="G959">IFERROR(INDEX(Data!D:D, MATCH($E959, Data!$B:$B, 0)), "")</f>
        <v/>
      </c>
      <c r="H959" s="9" t="str">
        <f t="array" ref="H959">IFERROR(INDEX(Data!E:E, MATCH($E959, Data!$B:$B, 0)), "")</f>
        <v/>
      </c>
      <c r="I959" s="9" t="str">
        <f t="shared" si="1"/>
        <v/>
      </c>
      <c r="J959" s="9" t="str">
        <f t="shared" si="2"/>
        <v>#REF!</v>
      </c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12">
        <v>958.0</v>
      </c>
      <c r="B960" s="13"/>
      <c r="C960" s="9" t="str">
        <f t="array" ref="C960">IFERROR(INDEX(Data!F:F, MATCH($E960, Data!$B:$B, 0)), "")</f>
        <v/>
      </c>
      <c r="D960" s="9" t="str">
        <f t="array" ref="D960">IFERROR(INDEX(Data!A:A, MATCH($E960, Data!$B:$B, 0)), "")</f>
        <v/>
      </c>
      <c r="E960" s="9" t="str">
        <f>LARGE(Data!$B$2:$B1000,A960 )</f>
        <v>#NUM!</v>
      </c>
      <c r="F960" s="9" t="str">
        <f t="array" ref="F960">IFERROR(INDEX(Data!C:C, MATCH($E960, Data!$B:$B, 0)), "")</f>
        <v/>
      </c>
      <c r="G960" s="9" t="str">
        <f t="array" ref="G960">IFERROR(INDEX(Data!D:D, MATCH($E960, Data!$B:$B, 0)), "")</f>
        <v/>
      </c>
      <c r="H960" s="9" t="str">
        <f t="array" ref="H960">IFERROR(INDEX(Data!E:E, MATCH($E960, Data!$B:$B, 0)), "")</f>
        <v/>
      </c>
      <c r="I960" s="9" t="str">
        <f t="shared" si="1"/>
        <v/>
      </c>
      <c r="J960" s="9" t="str">
        <f t="shared" si="2"/>
        <v>#REF!</v>
      </c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12">
        <v>959.0</v>
      </c>
      <c r="B961" s="13"/>
      <c r="C961" s="9" t="str">
        <f t="array" ref="C961">IFERROR(INDEX(Data!F:F, MATCH($E961, Data!$B:$B, 0)), "")</f>
        <v/>
      </c>
      <c r="D961" s="9" t="str">
        <f t="array" ref="D961">IFERROR(INDEX(Data!A:A, MATCH($E961, Data!$B:$B, 0)), "")</f>
        <v/>
      </c>
      <c r="E961" s="9" t="str">
        <f>LARGE(Data!$B$2:$B1000,A961 )</f>
        <v>#NUM!</v>
      </c>
      <c r="F961" s="9" t="str">
        <f t="array" ref="F961">IFERROR(INDEX(Data!C:C, MATCH($E961, Data!$B:$B, 0)), "")</f>
        <v/>
      </c>
      <c r="G961" s="9" t="str">
        <f t="array" ref="G961">IFERROR(INDEX(Data!D:D, MATCH($E961, Data!$B:$B, 0)), "")</f>
        <v/>
      </c>
      <c r="H961" s="9" t="str">
        <f t="array" ref="H961">IFERROR(INDEX(Data!E:E, MATCH($E961, Data!$B:$B, 0)), "")</f>
        <v/>
      </c>
      <c r="I961" s="9" t="str">
        <f t="shared" si="1"/>
        <v/>
      </c>
      <c r="J961" s="9" t="str">
        <f t="shared" si="2"/>
        <v>#REF!</v>
      </c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12">
        <v>960.0</v>
      </c>
      <c r="B962" s="13"/>
      <c r="C962" s="9" t="str">
        <f t="array" ref="C962">IFERROR(INDEX(Data!F:F, MATCH($E962, Data!$B:$B, 0)), "")</f>
        <v/>
      </c>
      <c r="D962" s="9" t="str">
        <f t="array" ref="D962">IFERROR(INDEX(Data!A:A, MATCH($E962, Data!$B:$B, 0)), "")</f>
        <v/>
      </c>
      <c r="E962" s="9" t="str">
        <f>LARGE(Data!$B$2:$B1000,A962 )</f>
        <v>#NUM!</v>
      </c>
      <c r="F962" s="9" t="str">
        <f t="array" ref="F962">IFERROR(INDEX(Data!C:C, MATCH($E962, Data!$B:$B, 0)), "")</f>
        <v/>
      </c>
      <c r="G962" s="9" t="str">
        <f t="array" ref="G962">IFERROR(INDEX(Data!D:D, MATCH($E962, Data!$B:$B, 0)), "")</f>
        <v/>
      </c>
      <c r="H962" s="9" t="str">
        <f t="array" ref="H962">IFERROR(INDEX(Data!E:E, MATCH($E962, Data!$B:$B, 0)), "")</f>
        <v/>
      </c>
      <c r="I962" s="9" t="str">
        <f t="shared" si="1"/>
        <v/>
      </c>
      <c r="J962" s="9" t="str">
        <f t="shared" si="2"/>
        <v>#REF!</v>
      </c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12">
        <v>961.0</v>
      </c>
      <c r="B963" s="13"/>
      <c r="C963" s="9" t="str">
        <f t="array" ref="C963">IFERROR(INDEX(Data!F:F, MATCH($E963, Data!$B:$B, 0)), "")</f>
        <v/>
      </c>
      <c r="D963" s="9" t="str">
        <f t="array" ref="D963">IFERROR(INDEX(Data!A:A, MATCH($E963, Data!$B:$B, 0)), "")</f>
        <v/>
      </c>
      <c r="E963" s="9" t="str">
        <f>LARGE(Data!$B$2:$B1000,A963 )</f>
        <v>#NUM!</v>
      </c>
      <c r="F963" s="9" t="str">
        <f t="array" ref="F963">IFERROR(INDEX(Data!C:C, MATCH($E963, Data!$B:$B, 0)), "")</f>
        <v/>
      </c>
      <c r="G963" s="9" t="str">
        <f t="array" ref="G963">IFERROR(INDEX(Data!D:D, MATCH($E963, Data!$B:$B, 0)), "")</f>
        <v/>
      </c>
      <c r="H963" s="9" t="str">
        <f t="array" ref="H963">IFERROR(INDEX(Data!E:E, MATCH($E963, Data!$B:$B, 0)), "")</f>
        <v/>
      </c>
      <c r="I963" s="9" t="str">
        <f t="shared" si="1"/>
        <v/>
      </c>
      <c r="J963" s="9" t="str">
        <f t="shared" si="2"/>
        <v>#REF!</v>
      </c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12">
        <v>962.0</v>
      </c>
      <c r="B964" s="13"/>
      <c r="C964" s="9" t="str">
        <f t="array" ref="C964">IFERROR(INDEX(Data!F:F, MATCH($E964, Data!$B:$B, 0)), "")</f>
        <v/>
      </c>
      <c r="D964" s="9" t="str">
        <f t="array" ref="D964">IFERROR(INDEX(Data!A:A, MATCH($E964, Data!$B:$B, 0)), "")</f>
        <v/>
      </c>
      <c r="E964" s="9" t="str">
        <f>LARGE(Data!$B$2:$B1000,A964 )</f>
        <v>#NUM!</v>
      </c>
      <c r="F964" s="9" t="str">
        <f t="array" ref="F964">IFERROR(INDEX(Data!C:C, MATCH($E964, Data!$B:$B, 0)), "")</f>
        <v/>
      </c>
      <c r="G964" s="9" t="str">
        <f t="array" ref="G964">IFERROR(INDEX(Data!D:D, MATCH($E964, Data!$B:$B, 0)), "")</f>
        <v/>
      </c>
      <c r="H964" s="9" t="str">
        <f t="array" ref="H964">IFERROR(INDEX(Data!E:E, MATCH($E964, Data!$B:$B, 0)), "")</f>
        <v/>
      </c>
      <c r="I964" s="9" t="str">
        <f t="shared" si="1"/>
        <v/>
      </c>
      <c r="J964" s="9" t="str">
        <f t="shared" si="2"/>
        <v>#REF!</v>
      </c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12">
        <v>963.0</v>
      </c>
      <c r="B965" s="13"/>
      <c r="C965" s="9" t="str">
        <f t="array" ref="C965">IFERROR(INDEX(Data!F:F, MATCH($E965, Data!$B:$B, 0)), "")</f>
        <v/>
      </c>
      <c r="D965" s="9" t="str">
        <f t="array" ref="D965">IFERROR(INDEX(Data!A:A, MATCH($E965, Data!$B:$B, 0)), "")</f>
        <v/>
      </c>
      <c r="E965" s="9" t="str">
        <f>LARGE(Data!$B$2:$B1000,A965 )</f>
        <v>#NUM!</v>
      </c>
      <c r="F965" s="9" t="str">
        <f t="array" ref="F965">IFERROR(INDEX(Data!C:C, MATCH($E965, Data!$B:$B, 0)), "")</f>
        <v/>
      </c>
      <c r="G965" s="9" t="str">
        <f t="array" ref="G965">IFERROR(INDEX(Data!D:D, MATCH($E965, Data!$B:$B, 0)), "")</f>
        <v/>
      </c>
      <c r="H965" s="9" t="str">
        <f t="array" ref="H965">IFERROR(INDEX(Data!E:E, MATCH($E965, Data!$B:$B, 0)), "")</f>
        <v/>
      </c>
      <c r="I965" s="9" t="str">
        <f t="shared" si="1"/>
        <v/>
      </c>
      <c r="J965" s="9" t="str">
        <f t="shared" si="2"/>
        <v>#REF!</v>
      </c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12">
        <v>964.0</v>
      </c>
      <c r="B966" s="13"/>
      <c r="C966" s="9" t="str">
        <f t="array" ref="C966">IFERROR(INDEX(Data!F:F, MATCH($E966, Data!$B:$B, 0)), "")</f>
        <v/>
      </c>
      <c r="D966" s="9" t="str">
        <f t="array" ref="D966">IFERROR(INDEX(Data!A:A, MATCH($E966, Data!$B:$B, 0)), "")</f>
        <v/>
      </c>
      <c r="E966" s="9" t="str">
        <f>LARGE(Data!$B$2:$B1000,A966 )</f>
        <v>#NUM!</v>
      </c>
      <c r="F966" s="9" t="str">
        <f t="array" ref="F966">IFERROR(INDEX(Data!C:C, MATCH($E966, Data!$B:$B, 0)), "")</f>
        <v/>
      </c>
      <c r="G966" s="9" t="str">
        <f t="array" ref="G966">IFERROR(INDEX(Data!D:D, MATCH($E966, Data!$B:$B, 0)), "")</f>
        <v/>
      </c>
      <c r="H966" s="9" t="str">
        <f t="array" ref="H966">IFERROR(INDEX(Data!E:E, MATCH($E966, Data!$B:$B, 0)), "")</f>
        <v/>
      </c>
      <c r="I966" s="9" t="str">
        <f t="shared" si="1"/>
        <v/>
      </c>
      <c r="J966" s="9" t="str">
        <f t="shared" si="2"/>
        <v>#REF!</v>
      </c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12">
        <v>965.0</v>
      </c>
      <c r="B967" s="13"/>
      <c r="C967" s="9" t="str">
        <f t="array" ref="C967">IFERROR(INDEX(Data!F:F, MATCH($E967, Data!$B:$B, 0)), "")</f>
        <v/>
      </c>
      <c r="D967" s="9" t="str">
        <f t="array" ref="D967">IFERROR(INDEX(Data!A:A, MATCH($E967, Data!$B:$B, 0)), "")</f>
        <v/>
      </c>
      <c r="E967" s="9" t="str">
        <f>LARGE(Data!$B$2:$B1000,A967 )</f>
        <v>#NUM!</v>
      </c>
      <c r="F967" s="9" t="str">
        <f t="array" ref="F967">IFERROR(INDEX(Data!C:C, MATCH($E967, Data!$B:$B, 0)), "")</f>
        <v/>
      </c>
      <c r="G967" s="9" t="str">
        <f t="array" ref="G967">IFERROR(INDEX(Data!D:D, MATCH($E967, Data!$B:$B, 0)), "")</f>
        <v/>
      </c>
      <c r="H967" s="9" t="str">
        <f t="array" ref="H967">IFERROR(INDEX(Data!E:E, MATCH($E967, Data!$B:$B, 0)), "")</f>
        <v/>
      </c>
      <c r="I967" s="9" t="str">
        <f t="shared" si="1"/>
        <v/>
      </c>
      <c r="J967" s="9" t="str">
        <f t="shared" si="2"/>
        <v>#REF!</v>
      </c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12">
        <v>966.0</v>
      </c>
      <c r="B968" s="13"/>
      <c r="C968" s="9" t="str">
        <f t="array" ref="C968">IFERROR(INDEX(Data!F:F, MATCH($E968, Data!$B:$B, 0)), "")</f>
        <v/>
      </c>
      <c r="D968" s="9" t="str">
        <f t="array" ref="D968">IFERROR(INDEX(Data!A:A, MATCH($E968, Data!$B:$B, 0)), "")</f>
        <v/>
      </c>
      <c r="E968" s="9" t="str">
        <f>LARGE(Data!$B$2:$B1000,A968 )</f>
        <v>#NUM!</v>
      </c>
      <c r="F968" s="9" t="str">
        <f t="array" ref="F968">IFERROR(INDEX(Data!C:C, MATCH($E968, Data!$B:$B, 0)), "")</f>
        <v/>
      </c>
      <c r="G968" s="9" t="str">
        <f t="array" ref="G968">IFERROR(INDEX(Data!D:D, MATCH($E968, Data!$B:$B, 0)), "")</f>
        <v/>
      </c>
      <c r="H968" s="9" t="str">
        <f t="array" ref="H968">IFERROR(INDEX(Data!E:E, MATCH($E968, Data!$B:$B, 0)), "")</f>
        <v/>
      </c>
      <c r="I968" s="9" t="str">
        <f t="shared" si="1"/>
        <v/>
      </c>
      <c r="J968" s="9" t="str">
        <f t="shared" si="2"/>
        <v>#REF!</v>
      </c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12">
        <v>967.0</v>
      </c>
      <c r="B969" s="13"/>
      <c r="C969" s="9" t="str">
        <f t="array" ref="C969">IFERROR(INDEX(Data!F:F, MATCH($E969, Data!$B:$B, 0)), "")</f>
        <v/>
      </c>
      <c r="D969" s="9" t="str">
        <f t="array" ref="D969">IFERROR(INDEX(Data!A:A, MATCH($E969, Data!$B:$B, 0)), "")</f>
        <v/>
      </c>
      <c r="E969" s="9" t="str">
        <f>LARGE(Data!$B$2:$B1000,A969 )</f>
        <v>#NUM!</v>
      </c>
      <c r="F969" s="9" t="str">
        <f t="array" ref="F969">IFERROR(INDEX(Data!C:C, MATCH($E969, Data!$B:$B, 0)), "")</f>
        <v/>
      </c>
      <c r="G969" s="9" t="str">
        <f t="array" ref="G969">IFERROR(INDEX(Data!D:D, MATCH($E969, Data!$B:$B, 0)), "")</f>
        <v/>
      </c>
      <c r="H969" s="9" t="str">
        <f t="array" ref="H969">IFERROR(INDEX(Data!E:E, MATCH($E969, Data!$B:$B, 0)), "")</f>
        <v/>
      </c>
      <c r="I969" s="9" t="str">
        <f t="shared" si="1"/>
        <v/>
      </c>
      <c r="J969" s="9" t="str">
        <f t="shared" si="2"/>
        <v>#REF!</v>
      </c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12">
        <v>968.0</v>
      </c>
      <c r="B970" s="13"/>
      <c r="C970" s="9" t="str">
        <f t="array" ref="C970">IFERROR(INDEX(Data!F:F, MATCH($E970, Data!$B:$B, 0)), "")</f>
        <v/>
      </c>
      <c r="D970" s="9" t="str">
        <f t="array" ref="D970">IFERROR(INDEX(Data!A:A, MATCH($E970, Data!$B:$B, 0)), "")</f>
        <v/>
      </c>
      <c r="E970" s="9" t="str">
        <f>LARGE(Data!$B$2:$B1000,A970 )</f>
        <v>#NUM!</v>
      </c>
      <c r="F970" s="9" t="str">
        <f t="array" ref="F970">IFERROR(INDEX(Data!C:C, MATCH($E970, Data!$B:$B, 0)), "")</f>
        <v/>
      </c>
      <c r="G970" s="9" t="str">
        <f t="array" ref="G970">IFERROR(INDEX(Data!D:D, MATCH($E970, Data!$B:$B, 0)), "")</f>
        <v/>
      </c>
      <c r="H970" s="9" t="str">
        <f t="array" ref="H970">IFERROR(INDEX(Data!E:E, MATCH($E970, Data!$B:$B, 0)), "")</f>
        <v/>
      </c>
      <c r="I970" s="9" t="str">
        <f t="shared" si="1"/>
        <v/>
      </c>
      <c r="J970" s="9" t="str">
        <f t="shared" si="2"/>
        <v>#REF!</v>
      </c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12">
        <v>969.0</v>
      </c>
      <c r="B971" s="13"/>
      <c r="C971" s="9" t="str">
        <f t="array" ref="C971">IFERROR(INDEX(Data!F:F, MATCH($E971, Data!$B:$B, 0)), "")</f>
        <v/>
      </c>
      <c r="D971" s="9" t="str">
        <f t="array" ref="D971">IFERROR(INDEX(Data!A:A, MATCH($E971, Data!$B:$B, 0)), "")</f>
        <v/>
      </c>
      <c r="E971" s="9" t="str">
        <f>LARGE(Data!$B$2:$B1000,A971 )</f>
        <v>#NUM!</v>
      </c>
      <c r="F971" s="9" t="str">
        <f t="array" ref="F971">IFERROR(INDEX(Data!C:C, MATCH($E971, Data!$B:$B, 0)), "")</f>
        <v/>
      </c>
      <c r="G971" s="9" t="str">
        <f t="array" ref="G971">IFERROR(INDEX(Data!D:D, MATCH($E971, Data!$B:$B, 0)), "")</f>
        <v/>
      </c>
      <c r="H971" s="9" t="str">
        <f t="array" ref="H971">IFERROR(INDEX(Data!E:E, MATCH($E971, Data!$B:$B, 0)), "")</f>
        <v/>
      </c>
      <c r="I971" s="9" t="str">
        <f t="shared" si="1"/>
        <v/>
      </c>
      <c r="J971" s="9" t="str">
        <f t="shared" si="2"/>
        <v>#REF!</v>
      </c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12">
        <v>970.0</v>
      </c>
      <c r="B972" s="13"/>
      <c r="C972" s="9" t="str">
        <f t="array" ref="C972">IFERROR(INDEX(Data!F:F, MATCH($E972, Data!$B:$B, 0)), "")</f>
        <v/>
      </c>
      <c r="D972" s="9" t="str">
        <f t="array" ref="D972">IFERROR(INDEX(Data!A:A, MATCH($E972, Data!$B:$B, 0)), "")</f>
        <v/>
      </c>
      <c r="E972" s="9" t="str">
        <f>LARGE(Data!$B$2:$B1000,A972 )</f>
        <v>#NUM!</v>
      </c>
      <c r="F972" s="9" t="str">
        <f t="array" ref="F972">IFERROR(INDEX(Data!C:C, MATCH($E972, Data!$B:$B, 0)), "")</f>
        <v/>
      </c>
      <c r="G972" s="9" t="str">
        <f t="array" ref="G972">IFERROR(INDEX(Data!D:D, MATCH($E972, Data!$B:$B, 0)), "")</f>
        <v/>
      </c>
      <c r="H972" s="9" t="str">
        <f t="array" ref="H972">IFERROR(INDEX(Data!E:E, MATCH($E972, Data!$B:$B, 0)), "")</f>
        <v/>
      </c>
      <c r="I972" s="9" t="str">
        <f t="shared" si="1"/>
        <v/>
      </c>
      <c r="J972" s="9" t="str">
        <f t="shared" si="2"/>
        <v>#REF!</v>
      </c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12">
        <v>971.0</v>
      </c>
      <c r="B973" s="13"/>
      <c r="C973" s="9" t="str">
        <f t="array" ref="C973">IFERROR(INDEX(Data!F:F, MATCH($E973, Data!$B:$B, 0)), "")</f>
        <v/>
      </c>
      <c r="D973" s="9" t="str">
        <f t="array" ref="D973">IFERROR(INDEX(Data!A:A, MATCH($E973, Data!$B:$B, 0)), "")</f>
        <v/>
      </c>
      <c r="E973" s="9" t="str">
        <f>LARGE(Data!$B$2:$B1000,A973 )</f>
        <v>#NUM!</v>
      </c>
      <c r="F973" s="9" t="str">
        <f t="array" ref="F973">IFERROR(INDEX(Data!C:C, MATCH($E973, Data!$B:$B, 0)), "")</f>
        <v/>
      </c>
      <c r="G973" s="9" t="str">
        <f t="array" ref="G973">IFERROR(INDEX(Data!D:D, MATCH($E973, Data!$B:$B, 0)), "")</f>
        <v/>
      </c>
      <c r="H973" s="9" t="str">
        <f t="array" ref="H973">IFERROR(INDEX(Data!E:E, MATCH($E973, Data!$B:$B, 0)), "")</f>
        <v/>
      </c>
      <c r="I973" s="9" t="str">
        <f t="shared" si="1"/>
        <v/>
      </c>
      <c r="J973" s="9" t="str">
        <f t="shared" si="2"/>
        <v>#REF!</v>
      </c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12">
        <v>972.0</v>
      </c>
      <c r="B974" s="13"/>
      <c r="C974" s="9" t="str">
        <f t="array" ref="C974">IFERROR(INDEX(Data!F:F, MATCH($E974, Data!$B:$B, 0)), "")</f>
        <v/>
      </c>
      <c r="D974" s="9" t="str">
        <f t="array" ref="D974">IFERROR(INDEX(Data!A:A, MATCH($E974, Data!$B:$B, 0)), "")</f>
        <v/>
      </c>
      <c r="E974" s="9" t="str">
        <f>LARGE(Data!$B$2:$B1000,A974 )</f>
        <v>#NUM!</v>
      </c>
      <c r="F974" s="9" t="str">
        <f t="array" ref="F974">IFERROR(INDEX(Data!C:C, MATCH($E974, Data!$B:$B, 0)), "")</f>
        <v/>
      </c>
      <c r="G974" s="9" t="str">
        <f t="array" ref="G974">IFERROR(INDEX(Data!D:D, MATCH($E974, Data!$B:$B, 0)), "")</f>
        <v/>
      </c>
      <c r="H974" s="9" t="str">
        <f t="array" ref="H974">IFERROR(INDEX(Data!E:E, MATCH($E974, Data!$B:$B, 0)), "")</f>
        <v/>
      </c>
      <c r="I974" s="9" t="str">
        <f t="shared" si="1"/>
        <v/>
      </c>
      <c r="J974" s="9" t="str">
        <f t="shared" si="2"/>
        <v>#REF!</v>
      </c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12">
        <v>973.0</v>
      </c>
      <c r="B975" s="13"/>
      <c r="C975" s="9" t="str">
        <f t="array" ref="C975">IFERROR(INDEX(Data!F:F, MATCH($E975, Data!$B:$B, 0)), "")</f>
        <v/>
      </c>
      <c r="D975" s="9" t="str">
        <f t="array" ref="D975">IFERROR(INDEX(Data!A:A, MATCH($E975, Data!$B:$B, 0)), "")</f>
        <v/>
      </c>
      <c r="E975" s="9" t="str">
        <f>LARGE(Data!$B$2:$B1000,A975 )</f>
        <v>#NUM!</v>
      </c>
      <c r="F975" s="9" t="str">
        <f t="array" ref="F975">IFERROR(INDEX(Data!C:C, MATCH($E975, Data!$B:$B, 0)), "")</f>
        <v/>
      </c>
      <c r="G975" s="9" t="str">
        <f t="array" ref="G975">IFERROR(INDEX(Data!D:D, MATCH($E975, Data!$B:$B, 0)), "")</f>
        <v/>
      </c>
      <c r="H975" s="9" t="str">
        <f t="array" ref="H975">IFERROR(INDEX(Data!E:E, MATCH($E975, Data!$B:$B, 0)), "")</f>
        <v/>
      </c>
      <c r="I975" s="9" t="str">
        <f t="shared" si="1"/>
        <v/>
      </c>
      <c r="J975" s="9" t="str">
        <f t="shared" si="2"/>
        <v>#REF!</v>
      </c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12">
        <v>974.0</v>
      </c>
      <c r="B976" s="13"/>
      <c r="C976" s="9" t="str">
        <f t="array" ref="C976">IFERROR(INDEX(Data!F:F, MATCH($E976, Data!$B:$B, 0)), "")</f>
        <v/>
      </c>
      <c r="D976" s="9" t="str">
        <f t="array" ref="D976">IFERROR(INDEX(Data!A:A, MATCH($E976, Data!$B:$B, 0)), "")</f>
        <v/>
      </c>
      <c r="E976" s="9" t="str">
        <f>LARGE(Data!$B$2:$B1000,A976 )</f>
        <v>#NUM!</v>
      </c>
      <c r="F976" s="9" t="str">
        <f t="array" ref="F976">IFERROR(INDEX(Data!C:C, MATCH($E976, Data!$B:$B, 0)), "")</f>
        <v/>
      </c>
      <c r="G976" s="9" t="str">
        <f t="array" ref="G976">IFERROR(INDEX(Data!D:D, MATCH($E976, Data!$B:$B, 0)), "")</f>
        <v/>
      </c>
      <c r="H976" s="9" t="str">
        <f t="array" ref="H976">IFERROR(INDEX(Data!E:E, MATCH($E976, Data!$B:$B, 0)), "")</f>
        <v/>
      </c>
      <c r="I976" s="9" t="str">
        <f t="shared" si="1"/>
        <v/>
      </c>
      <c r="J976" s="9" t="str">
        <f t="shared" si="2"/>
        <v>#REF!</v>
      </c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12">
        <v>975.0</v>
      </c>
      <c r="B977" s="13"/>
      <c r="C977" s="9" t="str">
        <f t="array" ref="C977">IFERROR(INDEX(Data!F:F, MATCH($E977, Data!$B:$B, 0)), "")</f>
        <v/>
      </c>
      <c r="D977" s="9" t="str">
        <f t="array" ref="D977">IFERROR(INDEX(Data!A:A, MATCH($E977, Data!$B:$B, 0)), "")</f>
        <v/>
      </c>
      <c r="E977" s="9" t="str">
        <f>LARGE(Data!$B$2:$B1000,A977 )</f>
        <v>#NUM!</v>
      </c>
      <c r="F977" s="9" t="str">
        <f t="array" ref="F977">IFERROR(INDEX(Data!C:C, MATCH($E977, Data!$B:$B, 0)), "")</f>
        <v/>
      </c>
      <c r="G977" s="9" t="str">
        <f t="array" ref="G977">IFERROR(INDEX(Data!D:D, MATCH($E977, Data!$B:$B, 0)), "")</f>
        <v/>
      </c>
      <c r="H977" s="9" t="str">
        <f t="array" ref="H977">IFERROR(INDEX(Data!E:E, MATCH($E977, Data!$B:$B, 0)), "")</f>
        <v/>
      </c>
      <c r="I977" s="9" t="str">
        <f t="shared" si="1"/>
        <v/>
      </c>
      <c r="J977" s="9" t="str">
        <f t="shared" si="2"/>
        <v>#REF!</v>
      </c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12">
        <v>976.0</v>
      </c>
      <c r="B978" s="13"/>
      <c r="C978" s="9" t="str">
        <f t="array" ref="C978">IFERROR(INDEX(Data!F:F, MATCH($E978, Data!$B:$B, 0)), "")</f>
        <v/>
      </c>
      <c r="D978" s="9" t="str">
        <f t="array" ref="D978">IFERROR(INDEX(Data!A:A, MATCH($E978, Data!$B:$B, 0)), "")</f>
        <v/>
      </c>
      <c r="E978" s="9" t="str">
        <f>LARGE(Data!$B$2:$B1000,A978 )</f>
        <v>#NUM!</v>
      </c>
      <c r="F978" s="9" t="str">
        <f t="array" ref="F978">IFERROR(INDEX(Data!C:C, MATCH($E978, Data!$B:$B, 0)), "")</f>
        <v/>
      </c>
      <c r="G978" s="9" t="str">
        <f t="array" ref="G978">IFERROR(INDEX(Data!D:D, MATCH($E978, Data!$B:$B, 0)), "")</f>
        <v/>
      </c>
      <c r="H978" s="9" t="str">
        <f t="array" ref="H978">IFERROR(INDEX(Data!E:E, MATCH($E978, Data!$B:$B, 0)), "")</f>
        <v/>
      </c>
      <c r="I978" s="9" t="str">
        <f t="shared" si="1"/>
        <v/>
      </c>
      <c r="J978" s="9" t="str">
        <f t="shared" si="2"/>
        <v>#REF!</v>
      </c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12">
        <v>977.0</v>
      </c>
      <c r="B979" s="13"/>
      <c r="C979" s="9" t="str">
        <f t="array" ref="C979">IFERROR(INDEX(Data!F:F, MATCH($E979, Data!$B:$B, 0)), "")</f>
        <v/>
      </c>
      <c r="D979" s="9" t="str">
        <f t="array" ref="D979">IFERROR(INDEX(Data!A:A, MATCH($E979, Data!$B:$B, 0)), "")</f>
        <v/>
      </c>
      <c r="E979" s="9" t="str">
        <f>LARGE(Data!$B$2:$B1000,A979 )</f>
        <v>#NUM!</v>
      </c>
      <c r="F979" s="9" t="str">
        <f t="array" ref="F979">IFERROR(INDEX(Data!C:C, MATCH($E979, Data!$B:$B, 0)), "")</f>
        <v/>
      </c>
      <c r="G979" s="9" t="str">
        <f t="array" ref="G979">IFERROR(INDEX(Data!D:D, MATCH($E979, Data!$B:$B, 0)), "")</f>
        <v/>
      </c>
      <c r="H979" s="9" t="str">
        <f t="array" ref="H979">IFERROR(INDEX(Data!E:E, MATCH($E979, Data!$B:$B, 0)), "")</f>
        <v/>
      </c>
      <c r="I979" s="9" t="str">
        <f t="shared" si="1"/>
        <v/>
      </c>
      <c r="J979" s="9" t="str">
        <f t="shared" si="2"/>
        <v>#REF!</v>
      </c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12">
        <v>978.0</v>
      </c>
      <c r="B980" s="13"/>
      <c r="C980" s="9" t="str">
        <f t="array" ref="C980">IFERROR(INDEX(Data!F:F, MATCH($E980, Data!$B:$B, 0)), "")</f>
        <v/>
      </c>
      <c r="D980" s="9" t="str">
        <f t="array" ref="D980">IFERROR(INDEX(Data!A:A, MATCH($E980, Data!$B:$B, 0)), "")</f>
        <v/>
      </c>
      <c r="E980" s="9" t="str">
        <f>LARGE(Data!$B$2:$B1000,A980 )</f>
        <v>#NUM!</v>
      </c>
      <c r="F980" s="9" t="str">
        <f t="array" ref="F980">IFERROR(INDEX(Data!C:C, MATCH($E980, Data!$B:$B, 0)), "")</f>
        <v/>
      </c>
      <c r="G980" s="9" t="str">
        <f t="array" ref="G980">IFERROR(INDEX(Data!D:D, MATCH($E980, Data!$B:$B, 0)), "")</f>
        <v/>
      </c>
      <c r="H980" s="9" t="str">
        <f t="array" ref="H980">IFERROR(INDEX(Data!E:E, MATCH($E980, Data!$B:$B, 0)), "")</f>
        <v/>
      </c>
      <c r="I980" s="9" t="str">
        <f t="shared" si="1"/>
        <v/>
      </c>
      <c r="J980" s="9" t="str">
        <f t="shared" si="2"/>
        <v>#REF!</v>
      </c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12">
        <v>979.0</v>
      </c>
      <c r="B981" s="13"/>
      <c r="C981" s="9" t="str">
        <f t="array" ref="C981">IFERROR(INDEX(Data!F:F, MATCH($E981, Data!$B:$B, 0)), "")</f>
        <v/>
      </c>
      <c r="D981" s="9" t="str">
        <f t="array" ref="D981">IFERROR(INDEX(Data!A:A, MATCH($E981, Data!$B:$B, 0)), "")</f>
        <v/>
      </c>
      <c r="E981" s="9" t="str">
        <f>LARGE(Data!$B$2:$B1000,A981 )</f>
        <v>#NUM!</v>
      </c>
      <c r="F981" s="9" t="str">
        <f t="array" ref="F981">IFERROR(INDEX(Data!C:C, MATCH($E981, Data!$B:$B, 0)), "")</f>
        <v/>
      </c>
      <c r="G981" s="9" t="str">
        <f t="array" ref="G981">IFERROR(INDEX(Data!D:D, MATCH($E981, Data!$B:$B, 0)), "")</f>
        <v/>
      </c>
      <c r="H981" s="9" t="str">
        <f t="array" ref="H981">IFERROR(INDEX(Data!E:E, MATCH($E981, Data!$B:$B, 0)), "")</f>
        <v/>
      </c>
      <c r="I981" s="9" t="str">
        <f t="shared" si="1"/>
        <v/>
      </c>
      <c r="J981" s="9" t="str">
        <f t="shared" si="2"/>
        <v>#REF!</v>
      </c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12">
        <v>980.0</v>
      </c>
      <c r="B982" s="13"/>
      <c r="C982" s="9" t="str">
        <f t="array" ref="C982">IFERROR(INDEX(Data!F:F, MATCH($E982, Data!$B:$B, 0)), "")</f>
        <v/>
      </c>
      <c r="D982" s="9" t="str">
        <f t="array" ref="D982">IFERROR(INDEX(Data!A:A, MATCH($E982, Data!$B:$B, 0)), "")</f>
        <v/>
      </c>
      <c r="E982" s="9" t="str">
        <f>LARGE(Data!$B$2:$B1000,A982 )</f>
        <v>#NUM!</v>
      </c>
      <c r="F982" s="9" t="str">
        <f t="array" ref="F982">IFERROR(INDEX(Data!C:C, MATCH($E982, Data!$B:$B, 0)), "")</f>
        <v/>
      </c>
      <c r="G982" s="9" t="str">
        <f t="array" ref="G982">IFERROR(INDEX(Data!D:D, MATCH($E982, Data!$B:$B, 0)), "")</f>
        <v/>
      </c>
      <c r="H982" s="9" t="str">
        <f t="array" ref="H982">IFERROR(INDEX(Data!E:E, MATCH($E982, Data!$B:$B, 0)), "")</f>
        <v/>
      </c>
      <c r="I982" s="9" t="str">
        <f t="shared" si="1"/>
        <v/>
      </c>
      <c r="J982" s="9" t="str">
        <f t="shared" si="2"/>
        <v>#REF!</v>
      </c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12">
        <v>981.0</v>
      </c>
      <c r="B983" s="13"/>
      <c r="C983" s="9" t="str">
        <f t="array" ref="C983">IFERROR(INDEX(Data!F:F, MATCH($E983, Data!$B:$B, 0)), "")</f>
        <v/>
      </c>
      <c r="D983" s="9" t="str">
        <f t="array" ref="D983">IFERROR(INDEX(Data!A:A, MATCH($E983, Data!$B:$B, 0)), "")</f>
        <v/>
      </c>
      <c r="E983" s="9" t="str">
        <f>LARGE(Data!$B$2:$B1000,A983 )</f>
        <v>#NUM!</v>
      </c>
      <c r="F983" s="9" t="str">
        <f t="array" ref="F983">IFERROR(INDEX(Data!C:C, MATCH($E983, Data!$B:$B, 0)), "")</f>
        <v/>
      </c>
      <c r="G983" s="9" t="str">
        <f t="array" ref="G983">IFERROR(INDEX(Data!D:D, MATCH($E983, Data!$B:$B, 0)), "")</f>
        <v/>
      </c>
      <c r="H983" s="9" t="str">
        <f t="array" ref="H983">IFERROR(INDEX(Data!E:E, MATCH($E983, Data!$B:$B, 0)), "")</f>
        <v/>
      </c>
      <c r="I983" s="9" t="str">
        <f t="shared" si="1"/>
        <v/>
      </c>
      <c r="J983" s="9" t="str">
        <f t="shared" si="2"/>
        <v>#REF!</v>
      </c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12">
        <v>982.0</v>
      </c>
      <c r="B984" s="13"/>
      <c r="C984" s="9" t="str">
        <f t="array" ref="C984">IFERROR(INDEX(Data!F:F, MATCH($E984, Data!$B:$B, 0)), "")</f>
        <v/>
      </c>
      <c r="D984" s="9" t="str">
        <f t="array" ref="D984">IFERROR(INDEX(Data!A:A, MATCH($E984, Data!$B:$B, 0)), "")</f>
        <v/>
      </c>
      <c r="E984" s="9" t="str">
        <f>LARGE(Data!$B$2:$B1000,A984 )</f>
        <v>#NUM!</v>
      </c>
      <c r="F984" s="9" t="str">
        <f t="array" ref="F984">IFERROR(INDEX(Data!C:C, MATCH($E984, Data!$B:$B, 0)), "")</f>
        <v/>
      </c>
      <c r="G984" s="9" t="str">
        <f t="array" ref="G984">IFERROR(INDEX(Data!D:D, MATCH($E984, Data!$B:$B, 0)), "")</f>
        <v/>
      </c>
      <c r="H984" s="9" t="str">
        <f t="array" ref="H984">IFERROR(INDEX(Data!E:E, MATCH($E984, Data!$B:$B, 0)), "")</f>
        <v/>
      </c>
      <c r="I984" s="9" t="str">
        <f t="shared" si="1"/>
        <v/>
      </c>
      <c r="J984" s="9" t="str">
        <f t="shared" si="2"/>
        <v>#REF!</v>
      </c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12">
        <v>983.0</v>
      </c>
      <c r="B985" s="13"/>
      <c r="C985" s="9" t="str">
        <f t="array" ref="C985">IFERROR(INDEX(Data!F:F, MATCH($E985, Data!$B:$B, 0)), "")</f>
        <v/>
      </c>
      <c r="D985" s="9" t="str">
        <f t="array" ref="D985">IFERROR(INDEX(Data!A:A, MATCH($E985, Data!$B:$B, 0)), "")</f>
        <v/>
      </c>
      <c r="E985" s="9" t="str">
        <f>LARGE(Data!$B$2:$B1000,A985 )</f>
        <v>#NUM!</v>
      </c>
      <c r="F985" s="9" t="str">
        <f t="array" ref="F985">IFERROR(INDEX(Data!C:C, MATCH($E985, Data!$B:$B, 0)), "")</f>
        <v/>
      </c>
      <c r="G985" s="9" t="str">
        <f t="array" ref="G985">IFERROR(INDEX(Data!D:D, MATCH($E985, Data!$B:$B, 0)), "")</f>
        <v/>
      </c>
      <c r="H985" s="9" t="str">
        <f t="array" ref="H985">IFERROR(INDEX(Data!E:E, MATCH($E985, Data!$B:$B, 0)), "")</f>
        <v/>
      </c>
      <c r="I985" s="9" t="str">
        <f t="shared" si="1"/>
        <v/>
      </c>
      <c r="J985" s="9" t="str">
        <f t="shared" si="2"/>
        <v>#REF!</v>
      </c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12">
        <v>984.0</v>
      </c>
      <c r="B986" s="13"/>
      <c r="C986" s="9" t="str">
        <f t="array" ref="C986">IFERROR(INDEX(Data!F:F, MATCH($E986, Data!$B:$B, 0)), "")</f>
        <v/>
      </c>
      <c r="D986" s="9" t="str">
        <f t="array" ref="D986">IFERROR(INDEX(Data!A:A, MATCH($E986, Data!$B:$B, 0)), "")</f>
        <v/>
      </c>
      <c r="E986" s="9" t="str">
        <f>LARGE(Data!$B$2:$B1000,A986 )</f>
        <v>#NUM!</v>
      </c>
      <c r="F986" s="9" t="str">
        <f t="array" ref="F986">IFERROR(INDEX(Data!C:C, MATCH($E986, Data!$B:$B, 0)), "")</f>
        <v/>
      </c>
      <c r="G986" s="9" t="str">
        <f t="array" ref="G986">IFERROR(INDEX(Data!D:D, MATCH($E986, Data!$B:$B, 0)), "")</f>
        <v/>
      </c>
      <c r="H986" s="9" t="str">
        <f t="array" ref="H986">IFERROR(INDEX(Data!E:E, MATCH($E986, Data!$B:$B, 0)), "")</f>
        <v/>
      </c>
      <c r="I986" s="9" t="str">
        <f t="shared" si="1"/>
        <v/>
      </c>
      <c r="J986" s="9" t="str">
        <f t="shared" si="2"/>
        <v>#REF!</v>
      </c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12">
        <v>985.0</v>
      </c>
      <c r="B987" s="13"/>
      <c r="C987" s="9" t="str">
        <f t="array" ref="C987">IFERROR(INDEX(Data!F:F, MATCH($E987, Data!$B:$B, 0)), "")</f>
        <v/>
      </c>
      <c r="D987" s="9" t="str">
        <f t="array" ref="D987">IFERROR(INDEX(Data!A:A, MATCH($E987, Data!$B:$B, 0)), "")</f>
        <v/>
      </c>
      <c r="E987" s="9" t="str">
        <f>LARGE(Data!$B$2:$B1000,A987 )</f>
        <v>#NUM!</v>
      </c>
      <c r="F987" s="9" t="str">
        <f t="array" ref="F987">IFERROR(INDEX(Data!C:C, MATCH($E987, Data!$B:$B, 0)), "")</f>
        <v/>
      </c>
      <c r="G987" s="9" t="str">
        <f t="array" ref="G987">IFERROR(INDEX(Data!D:D, MATCH($E987, Data!$B:$B, 0)), "")</f>
        <v/>
      </c>
      <c r="H987" s="9" t="str">
        <f t="array" ref="H987">IFERROR(INDEX(Data!E:E, MATCH($E987, Data!$B:$B, 0)), "")</f>
        <v/>
      </c>
      <c r="I987" s="9" t="str">
        <f t="shared" si="1"/>
        <v/>
      </c>
      <c r="J987" s="9" t="str">
        <f t="shared" si="2"/>
        <v>#REF!</v>
      </c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12">
        <v>986.0</v>
      </c>
      <c r="B988" s="13"/>
      <c r="C988" s="9" t="str">
        <f t="array" ref="C988">IFERROR(INDEX(Data!F:F, MATCH($E988, Data!$B:$B, 0)), "")</f>
        <v/>
      </c>
      <c r="D988" s="9" t="str">
        <f t="array" ref="D988">IFERROR(INDEX(Data!A:A, MATCH($E988, Data!$B:$B, 0)), "")</f>
        <v/>
      </c>
      <c r="E988" s="9" t="str">
        <f>LARGE(Data!$B$2:$B1000,A988 )</f>
        <v>#NUM!</v>
      </c>
      <c r="F988" s="9" t="str">
        <f t="array" ref="F988">IFERROR(INDEX(Data!C:C, MATCH($E988, Data!$B:$B, 0)), "")</f>
        <v/>
      </c>
      <c r="G988" s="9" t="str">
        <f t="array" ref="G988">IFERROR(INDEX(Data!D:D, MATCH($E988, Data!$B:$B, 0)), "")</f>
        <v/>
      </c>
      <c r="H988" s="9" t="str">
        <f t="array" ref="H988">IFERROR(INDEX(Data!E:E, MATCH($E988, Data!$B:$B, 0)), "")</f>
        <v/>
      </c>
      <c r="I988" s="9" t="str">
        <f t="shared" si="1"/>
        <v/>
      </c>
      <c r="J988" s="9" t="str">
        <f t="shared" si="2"/>
        <v>#REF!</v>
      </c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12">
        <v>987.0</v>
      </c>
      <c r="B989" s="13"/>
      <c r="C989" s="9" t="str">
        <f t="array" ref="C989">IFERROR(INDEX(Data!F:F, MATCH($E989, Data!$B:$B, 0)), "")</f>
        <v/>
      </c>
      <c r="D989" s="9" t="str">
        <f t="array" ref="D989">IFERROR(INDEX(Data!A:A, MATCH($E989, Data!$B:$B, 0)), "")</f>
        <v/>
      </c>
      <c r="E989" s="9" t="str">
        <f>LARGE(Data!$B$2:$B1000,A989 )</f>
        <v>#NUM!</v>
      </c>
      <c r="F989" s="9" t="str">
        <f t="array" ref="F989">IFERROR(INDEX(Data!C:C, MATCH($E989, Data!$B:$B, 0)), "")</f>
        <v/>
      </c>
      <c r="G989" s="9" t="str">
        <f t="array" ref="G989">IFERROR(INDEX(Data!D:D, MATCH($E989, Data!$B:$B, 0)), "")</f>
        <v/>
      </c>
      <c r="H989" s="9" t="str">
        <f t="array" ref="H989">IFERROR(INDEX(Data!E:E, MATCH($E989, Data!$B:$B, 0)), "")</f>
        <v/>
      </c>
      <c r="I989" s="9" t="str">
        <f t="shared" si="1"/>
        <v/>
      </c>
      <c r="J989" s="9" t="str">
        <f t="shared" si="2"/>
        <v>#REF!</v>
      </c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12">
        <v>988.0</v>
      </c>
      <c r="B990" s="13"/>
      <c r="C990" s="9" t="str">
        <f t="array" ref="C990">IFERROR(INDEX(Data!F:F, MATCH($E990, Data!$B:$B, 0)), "")</f>
        <v/>
      </c>
      <c r="D990" s="9" t="str">
        <f t="array" ref="D990">IFERROR(INDEX(Data!A:A, MATCH($E990, Data!$B:$B, 0)), "")</f>
        <v/>
      </c>
      <c r="E990" s="9" t="str">
        <f>LARGE(Data!$B$2:$B1000,A990 )</f>
        <v>#NUM!</v>
      </c>
      <c r="F990" s="9" t="str">
        <f t="array" ref="F990">IFERROR(INDEX(Data!C:C, MATCH($E990, Data!$B:$B, 0)), "")</f>
        <v/>
      </c>
      <c r="G990" s="9" t="str">
        <f t="array" ref="G990">IFERROR(INDEX(Data!D:D, MATCH($E990, Data!$B:$B, 0)), "")</f>
        <v/>
      </c>
      <c r="H990" s="9" t="str">
        <f t="array" ref="H990">IFERROR(INDEX(Data!E:E, MATCH($E990, Data!$B:$B, 0)), "")</f>
        <v/>
      </c>
      <c r="I990" s="9" t="str">
        <f t="shared" si="1"/>
        <v/>
      </c>
      <c r="J990" s="9" t="str">
        <f t="shared" si="2"/>
        <v>#REF!</v>
      </c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12">
        <v>989.0</v>
      </c>
      <c r="B991" s="13"/>
      <c r="C991" s="9" t="str">
        <f t="array" ref="C991">IFERROR(INDEX(Data!F:F, MATCH($E991, Data!$B:$B, 0)), "")</f>
        <v/>
      </c>
      <c r="D991" s="9" t="str">
        <f t="array" ref="D991">IFERROR(INDEX(Data!A:A, MATCH($E991, Data!$B:$B, 0)), "")</f>
        <v/>
      </c>
      <c r="E991" s="9" t="str">
        <f>LARGE(Data!$B$2:$B1000,A991 )</f>
        <v>#NUM!</v>
      </c>
      <c r="F991" s="9" t="str">
        <f t="array" ref="F991">IFERROR(INDEX(Data!C:C, MATCH($E991, Data!$B:$B, 0)), "")</f>
        <v/>
      </c>
      <c r="G991" s="9" t="str">
        <f t="array" ref="G991">IFERROR(INDEX(Data!D:D, MATCH($E991, Data!$B:$B, 0)), "")</f>
        <v/>
      </c>
      <c r="H991" s="9" t="str">
        <f t="array" ref="H991">IFERROR(INDEX(Data!E:E, MATCH($E991, Data!$B:$B, 0)), "")</f>
        <v/>
      </c>
      <c r="I991" s="9" t="str">
        <f t="shared" si="1"/>
        <v/>
      </c>
      <c r="J991" s="9" t="str">
        <f t="shared" si="2"/>
        <v>#REF!</v>
      </c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12">
        <v>990.0</v>
      </c>
      <c r="B992" s="13"/>
      <c r="C992" s="9" t="str">
        <f t="array" ref="C992">IFERROR(INDEX(Data!F:F, MATCH($E992, Data!$B:$B, 0)), "")</f>
        <v/>
      </c>
      <c r="D992" s="9" t="str">
        <f t="array" ref="D992">IFERROR(INDEX(Data!A:A, MATCH($E992, Data!$B:$B, 0)), "")</f>
        <v/>
      </c>
      <c r="E992" s="9" t="str">
        <f>LARGE(Data!$B$2:$B1000,A992 )</f>
        <v>#NUM!</v>
      </c>
      <c r="F992" s="9" t="str">
        <f t="array" ref="F992">IFERROR(INDEX(Data!C:C, MATCH($E992, Data!$B:$B, 0)), "")</f>
        <v/>
      </c>
      <c r="G992" s="9" t="str">
        <f t="array" ref="G992">IFERROR(INDEX(Data!D:D, MATCH($E992, Data!$B:$B, 0)), "")</f>
        <v/>
      </c>
      <c r="H992" s="9" t="str">
        <f t="array" ref="H992">IFERROR(INDEX(Data!E:E, MATCH($E992, Data!$B:$B, 0)), "")</f>
        <v/>
      </c>
      <c r="I992" s="9" t="str">
        <f t="shared" si="1"/>
        <v/>
      </c>
      <c r="J992" s="9" t="str">
        <f t="shared" si="2"/>
        <v>#REF!</v>
      </c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12">
        <v>991.0</v>
      </c>
      <c r="B993" s="13"/>
      <c r="C993" s="9" t="str">
        <f t="array" ref="C993">IFERROR(INDEX(Data!F:F, MATCH($E993, Data!$B:$B, 0)), "")</f>
        <v/>
      </c>
      <c r="D993" s="9" t="str">
        <f t="array" ref="D993">IFERROR(INDEX(Data!A:A, MATCH($E993, Data!$B:$B, 0)), "")</f>
        <v/>
      </c>
      <c r="E993" s="9" t="str">
        <f>LARGE(Data!$B$2:$B1000,A993 )</f>
        <v>#NUM!</v>
      </c>
      <c r="F993" s="9" t="str">
        <f t="array" ref="F993">IFERROR(INDEX(Data!C:C, MATCH($E993, Data!$B:$B, 0)), "")</f>
        <v/>
      </c>
      <c r="G993" s="9" t="str">
        <f t="array" ref="G993">IFERROR(INDEX(Data!D:D, MATCH($E993, Data!$B:$B, 0)), "")</f>
        <v/>
      </c>
      <c r="H993" s="9" t="str">
        <f t="array" ref="H993">IFERROR(INDEX(Data!E:E, MATCH($E993, Data!$B:$B, 0)), "")</f>
        <v/>
      </c>
      <c r="I993" s="9" t="str">
        <f t="shared" si="1"/>
        <v/>
      </c>
      <c r="J993" s="9" t="str">
        <f t="shared" si="2"/>
        <v>#REF!</v>
      </c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12">
        <v>992.0</v>
      </c>
      <c r="B994" s="13"/>
      <c r="C994" s="9" t="str">
        <f t="array" ref="C994">IFERROR(INDEX(Data!F:F, MATCH($E994, Data!$B:$B, 0)), "")</f>
        <v/>
      </c>
      <c r="D994" s="9" t="str">
        <f t="array" ref="D994">IFERROR(INDEX(Data!A:A, MATCH($E994, Data!$B:$B, 0)), "")</f>
        <v/>
      </c>
      <c r="E994" s="9" t="str">
        <f>LARGE(Data!$B$2:$B1000,A994 )</f>
        <v>#NUM!</v>
      </c>
      <c r="F994" s="9" t="str">
        <f t="array" ref="F994">IFERROR(INDEX(Data!C:C, MATCH($E994, Data!$B:$B, 0)), "")</f>
        <v/>
      </c>
      <c r="G994" s="9" t="str">
        <f t="array" ref="G994">IFERROR(INDEX(Data!D:D, MATCH($E994, Data!$B:$B, 0)), "")</f>
        <v/>
      </c>
      <c r="H994" s="9" t="str">
        <f t="array" ref="H994">IFERROR(INDEX(Data!E:E, MATCH($E994, Data!$B:$B, 0)), "")</f>
        <v/>
      </c>
      <c r="I994" s="9" t="str">
        <f t="shared" si="1"/>
        <v/>
      </c>
      <c r="J994" s="9" t="str">
        <f t="shared" si="2"/>
        <v>#REF!</v>
      </c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12">
        <v>993.0</v>
      </c>
      <c r="B995" s="13"/>
      <c r="C995" s="9" t="str">
        <f t="array" ref="C995">IFERROR(INDEX(Data!F:F, MATCH($E995, Data!$B:$B, 0)), "")</f>
        <v/>
      </c>
      <c r="D995" s="9" t="str">
        <f t="array" ref="D995">IFERROR(INDEX(Data!A:A, MATCH($E995, Data!$B:$B, 0)), "")</f>
        <v/>
      </c>
      <c r="E995" s="9" t="str">
        <f>LARGE(Data!$B$2:$B1000,A995 )</f>
        <v>#NUM!</v>
      </c>
      <c r="F995" s="9" t="str">
        <f t="array" ref="F995">IFERROR(INDEX(Data!C:C, MATCH($E995, Data!$B:$B, 0)), "")</f>
        <v/>
      </c>
      <c r="G995" s="9" t="str">
        <f t="array" ref="G995">IFERROR(INDEX(Data!D:D, MATCH($E995, Data!$B:$B, 0)), "")</f>
        <v/>
      </c>
      <c r="H995" s="9" t="str">
        <f t="array" ref="H995">IFERROR(INDEX(Data!E:E, MATCH($E995, Data!$B:$B, 0)), "")</f>
        <v/>
      </c>
      <c r="I995" s="9" t="str">
        <f t="shared" si="1"/>
        <v/>
      </c>
      <c r="J995" s="9" t="str">
        <f t="shared" si="2"/>
        <v>#REF!</v>
      </c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12">
        <v>994.0</v>
      </c>
      <c r="B996" s="13"/>
      <c r="C996" s="9" t="str">
        <f t="array" ref="C996">IFERROR(INDEX(Data!F:F, MATCH($E996, Data!$B:$B, 0)), "")</f>
        <v/>
      </c>
      <c r="D996" s="9" t="str">
        <f t="array" ref="D996">IFERROR(INDEX(Data!A:A, MATCH($E996, Data!$B:$B, 0)), "")</f>
        <v/>
      </c>
      <c r="E996" s="9" t="str">
        <f>LARGE(Data!$B$2:$B1000,A996 )</f>
        <v>#NUM!</v>
      </c>
      <c r="F996" s="9" t="str">
        <f t="array" ref="F996">IFERROR(INDEX(Data!C:C, MATCH($E996, Data!$B:$B, 0)), "")</f>
        <v/>
      </c>
      <c r="G996" s="9" t="str">
        <f t="array" ref="G996">IFERROR(INDEX(Data!D:D, MATCH($E996, Data!$B:$B, 0)), "")</f>
        <v/>
      </c>
      <c r="H996" s="9" t="str">
        <f t="array" ref="H996">IFERROR(INDEX(Data!E:E, MATCH($E996, Data!$B:$B, 0)), "")</f>
        <v/>
      </c>
      <c r="I996" s="9" t="str">
        <f t="shared" si="1"/>
        <v/>
      </c>
      <c r="J996" s="9" t="str">
        <f t="shared" si="2"/>
        <v>#REF!</v>
      </c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12">
        <v>995.0</v>
      </c>
      <c r="B997" s="13"/>
      <c r="C997" s="9" t="str">
        <f t="array" ref="C997">IFERROR(INDEX(Data!F:F, MATCH($E997, Data!$B:$B, 0)), "")</f>
        <v/>
      </c>
      <c r="D997" s="9" t="str">
        <f t="array" ref="D997">IFERROR(INDEX(Data!A:A, MATCH($E997, Data!$B:$B, 0)), "")</f>
        <v/>
      </c>
      <c r="E997" s="9" t="str">
        <f>LARGE(Data!$B$2:$B1000,A997 )</f>
        <v>#NUM!</v>
      </c>
      <c r="F997" s="9" t="str">
        <f t="array" ref="F997">IFERROR(INDEX(Data!C:C, MATCH($E997, Data!$B:$B, 0)), "")</f>
        <v/>
      </c>
      <c r="G997" s="9" t="str">
        <f t="array" ref="G997">IFERROR(INDEX(Data!D:D, MATCH($E997, Data!$B:$B, 0)), "")</f>
        <v/>
      </c>
      <c r="H997" s="9" t="str">
        <f t="array" ref="H997">IFERROR(INDEX(Data!E:E, MATCH($E997, Data!$B:$B, 0)), "")</f>
        <v/>
      </c>
      <c r="I997" s="9" t="str">
        <f t="shared" si="1"/>
        <v/>
      </c>
      <c r="J997" s="9" t="str">
        <f t="shared" si="2"/>
        <v>#REF!</v>
      </c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12">
        <v>996.0</v>
      </c>
      <c r="B998" s="13"/>
      <c r="C998" s="9" t="str">
        <f t="array" ref="C998">IFERROR(INDEX(Data!F:F, MATCH($E998, Data!$B:$B, 0)), "")</f>
        <v/>
      </c>
      <c r="D998" s="9" t="str">
        <f t="array" ref="D998">IFERROR(INDEX(Data!A:A, MATCH($E998, Data!$B:$B, 0)), "")</f>
        <v/>
      </c>
      <c r="E998" s="9" t="str">
        <f>LARGE(Data!$B$2:$B1000,A998 )</f>
        <v>#NUM!</v>
      </c>
      <c r="F998" s="9" t="str">
        <f t="array" ref="F998">IFERROR(INDEX(Data!C:C, MATCH($E998, Data!$B:$B, 0)), "")</f>
        <v/>
      </c>
      <c r="G998" s="9" t="str">
        <f t="array" ref="G998">IFERROR(INDEX(Data!D:D, MATCH($E998, Data!$B:$B, 0)), "")</f>
        <v/>
      </c>
      <c r="H998" s="9" t="str">
        <f t="array" ref="H998">IFERROR(INDEX(Data!E:E, MATCH($E998, Data!$B:$B, 0)), "")</f>
        <v/>
      </c>
      <c r="I998" s="9" t="str">
        <f t="shared" si="1"/>
        <v/>
      </c>
      <c r="J998" s="9" t="str">
        <f t="shared" si="2"/>
        <v>#REF!</v>
      </c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12">
        <v>997.0</v>
      </c>
      <c r="B999" s="13"/>
      <c r="C999" s="9" t="str">
        <f t="array" ref="C999">IFERROR(INDEX(Data!F:F, MATCH($E999, Data!$B:$B, 0)), "")</f>
        <v/>
      </c>
      <c r="D999" s="9" t="str">
        <f t="array" ref="D999">IFERROR(INDEX(Data!A:A, MATCH($E999, Data!$B:$B, 0)), "")</f>
        <v/>
      </c>
      <c r="E999" s="9" t="str">
        <f>LARGE(Data!$B$2:$B1000,A999 )</f>
        <v>#NUM!</v>
      </c>
      <c r="F999" s="9" t="str">
        <f t="array" ref="F999">IFERROR(INDEX(Data!C:C, MATCH($E999, Data!$B:$B, 0)), "")</f>
        <v/>
      </c>
      <c r="G999" s="9" t="str">
        <f t="array" ref="G999">IFERROR(INDEX(Data!D:D, MATCH($E999, Data!$B:$B, 0)), "")</f>
        <v/>
      </c>
      <c r="H999" s="9" t="str">
        <f t="array" ref="H999">IFERROR(INDEX(Data!E:E, MATCH($E999, Data!$B:$B, 0)), "")</f>
        <v/>
      </c>
      <c r="I999" s="9" t="str">
        <f t="shared" si="1"/>
        <v/>
      </c>
      <c r="J999" s="9" t="str">
        <f t="shared" si="2"/>
        <v>#REF!</v>
      </c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12">
        <v>998.0</v>
      </c>
      <c r="B1000" s="13"/>
      <c r="C1000" s="9" t="str">
        <f t="array" ref="C1000">IFERROR(INDEX(Data!F:F, MATCH($E1000, Data!$B:$B, 0)), "")</f>
        <v/>
      </c>
      <c r="D1000" s="9" t="str">
        <f t="array" ref="D1000">IFERROR(INDEX(Data!A:A, MATCH($E1000, Data!$B:$B, 0)), "")</f>
        <v/>
      </c>
      <c r="E1000" s="9" t="str">
        <f>LARGE(Data!$B$2:$B1000,A1000 )</f>
        <v>#NUM!</v>
      </c>
      <c r="F1000" s="9" t="str">
        <f t="array" ref="F1000">IFERROR(INDEX(Data!C:C, MATCH($E1000, Data!$B:$B, 0)), "")</f>
        <v/>
      </c>
      <c r="G1000" s="9" t="str">
        <f t="array" ref="G1000">IFERROR(INDEX(Data!D:D, MATCH($E1000, Data!$B:$B, 0)), "")</f>
        <v/>
      </c>
      <c r="H1000" s="9" t="str">
        <f t="array" ref="H1000">IFERROR(INDEX(Data!E:E, MATCH($E1000, Data!$B:$B, 0)), "")</f>
        <v/>
      </c>
      <c r="I1000" s="9" t="str">
        <f t="shared" si="1"/>
        <v/>
      </c>
      <c r="J1000" s="9" t="str">
        <f t="shared" si="2"/>
        <v>#REF!</v>
      </c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8.0"/>
    <col customWidth="1" min="3" max="3" width="3.0"/>
    <col customWidth="1" min="4" max="4" width="16.13"/>
    <col customWidth="1" min="5" max="5" width="3.0"/>
    <col customWidth="1" min="6" max="6" width="16.13"/>
    <col customWidth="1" min="7" max="7" width="3.0"/>
    <col customWidth="1" min="8" max="8" width="16.13"/>
    <col customWidth="1" min="9" max="9" width="3.0"/>
    <col customWidth="1" min="10" max="10" width="16.13"/>
    <col customWidth="1" min="11" max="11" width="3.0"/>
    <col customWidth="1" min="12" max="12" width="16.13"/>
    <col customWidth="1" min="13" max="13" width="3.0"/>
    <col customWidth="1" min="14" max="14" width="16.13"/>
    <col customWidth="1" min="15" max="15" width="3.0"/>
    <col customWidth="1" min="16" max="16" width="20.0"/>
    <col customWidth="1" min="17" max="30" width="16.13"/>
  </cols>
  <sheetData>
    <row r="1" ht="8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ht="23.25" customHeight="1">
      <c r="A2" s="9"/>
      <c r="B2" s="9"/>
      <c r="C2" s="14"/>
      <c r="D2" s="15" t="s">
        <v>17</v>
      </c>
      <c r="E2" s="14"/>
      <c r="F2" s="15" t="s">
        <v>18</v>
      </c>
      <c r="G2" s="14"/>
      <c r="H2" s="15" t="s">
        <v>19</v>
      </c>
      <c r="I2" s="14"/>
      <c r="J2" s="16" t="s">
        <v>20</v>
      </c>
      <c r="K2" s="14"/>
      <c r="L2" s="16" t="s">
        <v>21</v>
      </c>
      <c r="M2" s="14"/>
      <c r="N2" s="16" t="s">
        <v>22</v>
      </c>
      <c r="O2" s="14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8.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23.25" customHeight="1">
      <c r="A4" s="9"/>
      <c r="B4" s="14" t="s">
        <v>23</v>
      </c>
      <c r="C4" s="9"/>
      <c r="D4" s="15">
        <v>7031.0</v>
      </c>
      <c r="E4" s="14"/>
      <c r="F4" s="15">
        <v>7718.0</v>
      </c>
      <c r="G4" s="14"/>
      <c r="H4" s="15">
        <v>1880.0</v>
      </c>
      <c r="I4" s="14"/>
      <c r="J4" s="16">
        <v>250.0</v>
      </c>
      <c r="K4" s="14"/>
      <c r="L4" s="16">
        <v>4121.0</v>
      </c>
      <c r="M4" s="14"/>
      <c r="N4" s="16">
        <v>263.0</v>
      </c>
      <c r="O4" s="14"/>
      <c r="P4" s="14" t="s">
        <v>23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8.2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23.25" customHeight="1">
      <c r="A6" s="9"/>
      <c r="B6" s="17" t="s">
        <v>10</v>
      </c>
      <c r="C6" s="9"/>
      <c r="D6" s="18" t="str">
        <f t="shared" ref="D6:O6" si="1">INDIRECT("'" &amp; D4 &amp; "'!C4")</f>
        <v>#REF!</v>
      </c>
      <c r="E6" s="9" t="str">
        <f t="shared" si="1"/>
        <v/>
      </c>
      <c r="F6" s="18" t="str">
        <f t="shared" si="1"/>
        <v>#REF!</v>
      </c>
      <c r="G6" s="9" t="str">
        <f t="shared" si="1"/>
        <v/>
      </c>
      <c r="H6" s="18" t="str">
        <f t="shared" si="1"/>
        <v>#REF!</v>
      </c>
      <c r="I6" s="9" t="str">
        <f t="shared" si="1"/>
        <v/>
      </c>
      <c r="J6" s="19" t="str">
        <f t="shared" si="1"/>
        <v>#REF!</v>
      </c>
      <c r="K6" s="9" t="str">
        <f t="shared" si="1"/>
        <v/>
      </c>
      <c r="L6" s="19" t="str">
        <f t="shared" si="1"/>
        <v>#REF!</v>
      </c>
      <c r="M6" s="9" t="str">
        <f t="shared" si="1"/>
        <v/>
      </c>
      <c r="N6" s="19">
        <f t="shared" si="1"/>
        <v>79.71</v>
      </c>
      <c r="O6" s="9" t="str">
        <f t="shared" si="1"/>
        <v/>
      </c>
      <c r="P6" s="17" t="str">
        <f t="shared" ref="P6:P36" si="2">B6</f>
        <v>TOTAL EPA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8.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7" t="str">
        <f t="shared" si="2"/>
        <v/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ht="23.25" customHeight="1">
      <c r="A8" s="9"/>
      <c r="B8" s="17" t="s">
        <v>11</v>
      </c>
      <c r="C8" s="17"/>
      <c r="D8" s="20" t="str">
        <f t="shared" ref="D8:O8" si="3">INDIRECT("'" &amp; D4 &amp; "'!C6")</f>
        <v>#REF!</v>
      </c>
      <c r="E8" s="17" t="str">
        <f t="shared" si="3"/>
        <v/>
      </c>
      <c r="F8" s="20" t="str">
        <f t="shared" si="3"/>
        <v>#REF!</v>
      </c>
      <c r="G8" s="17" t="str">
        <f t="shared" si="3"/>
        <v/>
      </c>
      <c r="H8" s="20" t="str">
        <f t="shared" si="3"/>
        <v>#REF!</v>
      </c>
      <c r="I8" s="17" t="str">
        <f t="shared" si="3"/>
        <v/>
      </c>
      <c r="J8" s="21" t="str">
        <f t="shared" si="3"/>
        <v>#REF!</v>
      </c>
      <c r="K8" s="17" t="str">
        <f t="shared" si="3"/>
        <v/>
      </c>
      <c r="L8" s="21" t="str">
        <f t="shared" si="3"/>
        <v>#REF!</v>
      </c>
      <c r="M8" s="17" t="str">
        <f t="shared" si="3"/>
        <v/>
      </c>
      <c r="N8" s="21">
        <f t="shared" si="3"/>
        <v>17.33</v>
      </c>
      <c r="O8" s="17" t="str">
        <f t="shared" si="3"/>
        <v/>
      </c>
      <c r="P8" s="17" t="str">
        <f t="shared" si="2"/>
        <v>AUTO EPA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ht="8.2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7" t="str">
        <f t="shared" si="2"/>
        <v/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23.25" customHeight="1">
      <c r="A10" s="9"/>
      <c r="B10" s="17" t="s">
        <v>24</v>
      </c>
      <c r="C10" s="9"/>
      <c r="D10" s="20" t="str">
        <f t="shared" ref="D10:O10" si="4">INDIRECT("'" &amp; D4 &amp; "'!C8")</f>
        <v>#REF!</v>
      </c>
      <c r="E10" s="17" t="str">
        <f t="shared" si="4"/>
        <v/>
      </c>
      <c r="F10" s="20" t="str">
        <f t="shared" si="4"/>
        <v>#REF!</v>
      </c>
      <c r="G10" s="17" t="str">
        <f t="shared" si="4"/>
        <v/>
      </c>
      <c r="H10" s="20" t="str">
        <f t="shared" si="4"/>
        <v>#REF!</v>
      </c>
      <c r="I10" s="17" t="str">
        <f t="shared" si="4"/>
        <v/>
      </c>
      <c r="J10" s="21" t="str">
        <f t="shared" si="4"/>
        <v>#REF!</v>
      </c>
      <c r="K10" s="17" t="str">
        <f t="shared" si="4"/>
        <v/>
      </c>
      <c r="L10" s="21" t="str">
        <f t="shared" si="4"/>
        <v>#REF!</v>
      </c>
      <c r="M10" s="17" t="str">
        <f t="shared" si="4"/>
        <v/>
      </c>
      <c r="N10" s="21">
        <f t="shared" si="4"/>
        <v>41.46</v>
      </c>
      <c r="O10" s="17" t="str">
        <f t="shared" si="4"/>
        <v/>
      </c>
      <c r="P10" s="17" t="str">
        <f t="shared" si="2"/>
        <v>TELE-OP EPA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ht="8.2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7" t="str">
        <f t="shared" si="2"/>
        <v/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ht="23.25" customHeight="1">
      <c r="A12" s="9"/>
      <c r="B12" s="17" t="s">
        <v>25</v>
      </c>
      <c r="C12" s="17"/>
      <c r="D12" s="20" t="str">
        <f t="shared" ref="D12:O12" si="5">INDIRECT("'" &amp; D4 &amp; "'!C10")</f>
        <v>#REF!</v>
      </c>
      <c r="E12" s="17" t="str">
        <f t="shared" si="5"/>
        <v/>
      </c>
      <c r="F12" s="20" t="str">
        <f t="shared" si="5"/>
        <v>#REF!</v>
      </c>
      <c r="G12" s="17" t="str">
        <f t="shared" si="5"/>
        <v/>
      </c>
      <c r="H12" s="20" t="str">
        <f t="shared" si="5"/>
        <v>#REF!</v>
      </c>
      <c r="I12" s="17" t="str">
        <f t="shared" si="5"/>
        <v/>
      </c>
      <c r="J12" s="21" t="str">
        <f t="shared" si="5"/>
        <v>#REF!</v>
      </c>
      <c r="K12" s="17" t="str">
        <f t="shared" si="5"/>
        <v/>
      </c>
      <c r="L12" s="21" t="str">
        <f t="shared" si="5"/>
        <v>#REF!</v>
      </c>
      <c r="M12" s="17" t="str">
        <f t="shared" si="5"/>
        <v/>
      </c>
      <c r="N12" s="21">
        <f t="shared" si="5"/>
        <v>20.92</v>
      </c>
      <c r="O12" s="17" t="str">
        <f t="shared" si="5"/>
        <v/>
      </c>
      <c r="P12" s="17" t="str">
        <f t="shared" si="2"/>
        <v>ENDGAME EPA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ht="8.2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7" t="str">
        <f t="shared" si="2"/>
        <v/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23.25" customHeight="1">
      <c r="A14" s="9"/>
      <c r="B14" s="17" t="s">
        <v>26</v>
      </c>
      <c r="C14" s="9"/>
      <c r="D14" s="18" t="str">
        <f t="array" ref="D14">INDIRECT("'" &amp; D4 &amp; "'!J12")</f>
        <v>#REF!</v>
      </c>
      <c r="E14" s="9"/>
      <c r="F14" s="18" t="str">
        <f t="array" ref="F14">INDIRECT("'" &amp; F4 &amp; "'!J12")</f>
        <v>#REF!</v>
      </c>
      <c r="G14" s="9"/>
      <c r="H14" s="18" t="str">
        <f t="array" ref="H14">INDIRECT("'" &amp; H4 &amp; "'!J12")</f>
        <v>#REF!</v>
      </c>
      <c r="I14" s="9"/>
      <c r="J14" s="19" t="str">
        <f t="array" ref="J14">INDIRECT("'" &amp; J4 &amp; "'!J12")</f>
        <v>#REF!</v>
      </c>
      <c r="K14" s="9"/>
      <c r="L14" s="19" t="str">
        <f t="array" ref="L14">INDIRECT("'" &amp; L4 &amp; "'!J12")</f>
        <v>#REF!</v>
      </c>
      <c r="M14" s="9"/>
      <c r="N14" s="19" t="str">
        <f t="array" ref="N14">INDIRECT("'" &amp; N4 &amp; "'!J12")</f>
        <v/>
      </c>
      <c r="O14" s="9"/>
      <c r="P14" s="17" t="str">
        <f t="shared" si="2"/>
        <v>TRENCH?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8.2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7" t="str">
        <f t="shared" si="2"/>
        <v/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23.25" customHeight="1">
      <c r="A16" s="9"/>
      <c r="B16" s="17" t="s">
        <v>27</v>
      </c>
      <c r="C16" s="17"/>
      <c r="D16" s="20" t="str">
        <f t="shared" ref="D16:O16" si="6">INDIRECT("'" &amp; D4 &amp; "'!J5")</f>
        <v>#REF!</v>
      </c>
      <c r="E16" s="17" t="str">
        <f t="shared" si="6"/>
        <v/>
      </c>
      <c r="F16" s="20" t="str">
        <f t="shared" si="6"/>
        <v>#REF!</v>
      </c>
      <c r="G16" s="17" t="str">
        <f t="shared" si="6"/>
        <v/>
      </c>
      <c r="H16" s="20" t="str">
        <f t="shared" si="6"/>
        <v>#REF!</v>
      </c>
      <c r="I16" s="17" t="str">
        <f t="shared" si="6"/>
        <v/>
      </c>
      <c r="J16" s="21" t="str">
        <f t="shared" si="6"/>
        <v>#REF!</v>
      </c>
      <c r="K16" s="17" t="str">
        <f t="shared" si="6"/>
        <v/>
      </c>
      <c r="L16" s="21" t="str">
        <f t="shared" si="6"/>
        <v>#REF!</v>
      </c>
      <c r="M16" s="17" t="str">
        <f t="shared" si="6"/>
        <v/>
      </c>
      <c r="N16" s="21" t="str">
        <f t="shared" si="6"/>
        <v/>
      </c>
      <c r="O16" s="17" t="str">
        <f t="shared" si="6"/>
        <v/>
      </c>
      <c r="P16" s="17" t="str">
        <f t="shared" si="2"/>
        <v>DRIVE BASE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8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7" t="str">
        <f t="shared" si="2"/>
        <v/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23.25" customHeight="1">
      <c r="A18" s="9"/>
      <c r="B18" s="17" t="s">
        <v>28</v>
      </c>
      <c r="C18" s="9"/>
      <c r="D18" s="20" t="str">
        <f t="shared" ref="D18:O18" si="7">INDIRECT("'" &amp; D4 &amp; "'!M12")</f>
        <v>#REF!</v>
      </c>
      <c r="E18" s="17" t="str">
        <f t="shared" si="7"/>
        <v/>
      </c>
      <c r="F18" s="20" t="str">
        <f t="shared" si="7"/>
        <v>#REF!</v>
      </c>
      <c r="G18" s="17" t="str">
        <f t="shared" si="7"/>
        <v/>
      </c>
      <c r="H18" s="20" t="str">
        <f t="shared" si="7"/>
        <v>#REF!</v>
      </c>
      <c r="I18" s="17" t="str">
        <f t="shared" si="7"/>
        <v/>
      </c>
      <c r="J18" s="21" t="str">
        <f t="shared" si="7"/>
        <v>#REF!</v>
      </c>
      <c r="K18" s="17" t="str">
        <f t="shared" si="7"/>
        <v/>
      </c>
      <c r="L18" s="21" t="str">
        <f t="shared" si="7"/>
        <v>#REF!</v>
      </c>
      <c r="M18" s="17" t="str">
        <f t="shared" si="7"/>
        <v/>
      </c>
      <c r="N18" s="21" t="str">
        <f t="shared" si="7"/>
        <v/>
      </c>
      <c r="O18" s="17" t="str">
        <f t="shared" si="7"/>
        <v/>
      </c>
      <c r="P18" s="17" t="str">
        <f t="shared" si="2"/>
        <v>SHOOTER STYLE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8.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7" t="str">
        <f t="shared" si="2"/>
        <v/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ht="23.25" customHeight="1">
      <c r="A20" s="9"/>
      <c r="B20" s="17" t="s">
        <v>29</v>
      </c>
      <c r="C20" s="9"/>
      <c r="D20" s="18" t="str">
        <f t="shared" ref="D20:O20" si="8">INDIRECT("'" &amp; D4 &amp; "'!M13")</f>
        <v>#REF!</v>
      </c>
      <c r="E20" s="9" t="str">
        <f t="shared" si="8"/>
        <v/>
      </c>
      <c r="F20" s="18" t="str">
        <f t="shared" si="8"/>
        <v>#REF!</v>
      </c>
      <c r="G20" s="9" t="str">
        <f t="shared" si="8"/>
        <v/>
      </c>
      <c r="H20" s="18" t="str">
        <f t="shared" si="8"/>
        <v>#REF!</v>
      </c>
      <c r="I20" s="9" t="str">
        <f t="shared" si="8"/>
        <v/>
      </c>
      <c r="J20" s="19" t="str">
        <f t="shared" si="8"/>
        <v>#REF!</v>
      </c>
      <c r="K20" s="9" t="str">
        <f t="shared" si="8"/>
        <v/>
      </c>
      <c r="L20" s="19" t="str">
        <f t="shared" si="8"/>
        <v>#REF!</v>
      </c>
      <c r="M20" s="9" t="str">
        <f t="shared" si="8"/>
        <v/>
      </c>
      <c r="N20" s="19" t="str">
        <f t="shared" si="8"/>
        <v/>
      </c>
      <c r="O20" s="9" t="str">
        <f t="shared" si="8"/>
        <v/>
      </c>
      <c r="P20" s="17" t="str">
        <f t="shared" si="2"/>
        <v># OF LANES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8.2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7" t="str">
        <f t="shared" si="2"/>
        <v/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23.25" customHeight="1">
      <c r="A22" s="9"/>
      <c r="B22" s="14" t="s">
        <v>30</v>
      </c>
      <c r="C22" s="9"/>
      <c r="D22" s="18" t="str">
        <f t="shared" ref="D22:H22" si="9">INDIRECT("'" &amp; D4 &amp; "'!J17")</f>
        <v>#REF!</v>
      </c>
      <c r="E22" s="9" t="str">
        <f t="shared" si="9"/>
        <v/>
      </c>
      <c r="F22" s="18" t="str">
        <f t="shared" si="9"/>
        <v>#REF!</v>
      </c>
      <c r="G22" s="9" t="str">
        <f t="shared" si="9"/>
        <v/>
      </c>
      <c r="H22" s="18" t="str">
        <f t="shared" si="9"/>
        <v>#REF!</v>
      </c>
      <c r="I22" s="9"/>
      <c r="J22" s="19" t="str">
        <f t="shared" ref="J22:N22" si="10">INDIRECT("'" &amp; J4 &amp; "'!J17")</f>
        <v>#REF!</v>
      </c>
      <c r="K22" s="9" t="str">
        <f t="shared" si="10"/>
        <v/>
      </c>
      <c r="L22" s="19" t="str">
        <f t="shared" si="10"/>
        <v>#REF!</v>
      </c>
      <c r="M22" s="9" t="str">
        <f t="shared" si="10"/>
        <v/>
      </c>
      <c r="N22" s="19" t="str">
        <f t="shared" si="10"/>
        <v/>
      </c>
      <c r="O22" s="9"/>
      <c r="P22" s="17" t="str">
        <f t="shared" si="2"/>
        <v>HOPPER CAPACITY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8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7" t="str">
        <f t="shared" si="2"/>
        <v/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23.25" customHeight="1">
      <c r="A24" s="9"/>
      <c r="B24" s="17" t="s">
        <v>31</v>
      </c>
      <c r="C24" s="9"/>
      <c r="D24" s="18" t="str">
        <f t="shared" ref="D24:O24" si="11">INDIRECT("'" &amp; D4 &amp; "'!M21")</f>
        <v>#REF!</v>
      </c>
      <c r="E24" s="9" t="str">
        <f t="shared" si="11"/>
        <v/>
      </c>
      <c r="F24" s="18" t="str">
        <f t="shared" si="11"/>
        <v>#REF!</v>
      </c>
      <c r="G24" s="9" t="str">
        <f t="shared" si="11"/>
        <v/>
      </c>
      <c r="H24" s="18" t="str">
        <f t="shared" si="11"/>
        <v>#REF!</v>
      </c>
      <c r="I24" s="9" t="str">
        <f t="shared" si="11"/>
        <v/>
      </c>
      <c r="J24" s="19" t="str">
        <f t="shared" si="11"/>
        <v>#REF!</v>
      </c>
      <c r="K24" s="9" t="str">
        <f t="shared" si="11"/>
        <v/>
      </c>
      <c r="L24" s="19" t="str">
        <f t="shared" si="11"/>
        <v>#REF!</v>
      </c>
      <c r="M24" s="9" t="str">
        <f t="shared" si="11"/>
        <v/>
      </c>
      <c r="N24" s="19" t="str">
        <f t="shared" si="11"/>
        <v/>
      </c>
      <c r="O24" s="9" t="str">
        <f t="shared" si="11"/>
        <v/>
      </c>
      <c r="P24" s="17" t="str">
        <f t="shared" si="2"/>
        <v>SHOOT PRELOAD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8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7" t="str">
        <f t="shared" si="2"/>
        <v/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23.25" customHeight="1">
      <c r="A26" s="9"/>
      <c r="B26" s="17" t="s">
        <v>32</v>
      </c>
      <c r="C26" s="9"/>
      <c r="D26" s="18" t="str">
        <f t="shared" ref="D26:O26" si="12">INDIRECT("'" &amp; D4 &amp; "'!M22")</f>
        <v>#REF!</v>
      </c>
      <c r="E26" s="9" t="str">
        <f t="shared" si="12"/>
        <v/>
      </c>
      <c r="F26" s="18" t="str">
        <f t="shared" si="12"/>
        <v>#REF!</v>
      </c>
      <c r="G26" s="9" t="str">
        <f t="shared" si="12"/>
        <v/>
      </c>
      <c r="H26" s="18" t="str">
        <f t="shared" si="12"/>
        <v>#REF!</v>
      </c>
      <c r="I26" s="9" t="str">
        <f t="shared" si="12"/>
        <v/>
      </c>
      <c r="J26" s="19" t="str">
        <f t="shared" si="12"/>
        <v>#REF!</v>
      </c>
      <c r="K26" s="9" t="str">
        <f t="shared" si="12"/>
        <v/>
      </c>
      <c r="L26" s="19" t="str">
        <f t="shared" si="12"/>
        <v>#REF!</v>
      </c>
      <c r="M26" s="9" t="str">
        <f t="shared" si="12"/>
        <v/>
      </c>
      <c r="N26" s="19" t="str">
        <f t="shared" si="12"/>
        <v/>
      </c>
      <c r="O26" s="9" t="str">
        <f t="shared" si="12"/>
        <v/>
      </c>
      <c r="P26" s="17" t="str">
        <f t="shared" si="2"/>
        <v>CENTER AUTO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8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7" t="str">
        <f t="shared" si="2"/>
        <v/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23.25" customHeight="1">
      <c r="A28" s="9"/>
      <c r="B28" s="17" t="s">
        <v>33</v>
      </c>
      <c r="C28" s="9"/>
      <c r="D28" s="18" t="str">
        <f t="shared" ref="D28:O28" si="13">INDIRECT("'" &amp; D4 &amp; "'!M23")</f>
        <v>#REF!</v>
      </c>
      <c r="E28" s="9" t="str">
        <f t="shared" si="13"/>
        <v/>
      </c>
      <c r="F28" s="18" t="str">
        <f t="shared" si="13"/>
        <v>#REF!</v>
      </c>
      <c r="G28" s="9" t="str">
        <f t="shared" si="13"/>
        <v/>
      </c>
      <c r="H28" s="18" t="str">
        <f t="shared" si="13"/>
        <v>#REF!</v>
      </c>
      <c r="I28" s="9" t="str">
        <f t="shared" si="13"/>
        <v/>
      </c>
      <c r="J28" s="19" t="str">
        <f t="shared" si="13"/>
        <v>#REF!</v>
      </c>
      <c r="K28" s="9" t="str">
        <f t="shared" si="13"/>
        <v/>
      </c>
      <c r="L28" s="19" t="str">
        <f t="shared" si="13"/>
        <v>#REF!</v>
      </c>
      <c r="M28" s="9" t="str">
        <f t="shared" si="13"/>
        <v/>
      </c>
      <c r="N28" s="19" t="str">
        <f t="shared" si="13"/>
        <v/>
      </c>
      <c r="O28" s="9" t="str">
        <f t="shared" si="13"/>
        <v/>
      </c>
      <c r="P28" s="17" t="str">
        <f t="shared" si="2"/>
        <v># OF SWEEPS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8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7" t="str">
        <f t="shared" si="2"/>
        <v/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23.25" customHeight="1">
      <c r="A30" s="9"/>
      <c r="B30" s="17" t="s">
        <v>34</v>
      </c>
      <c r="C30" s="9"/>
      <c r="D30" s="18" t="str">
        <f t="shared" ref="D30:O30" si="14">INDIRECT("'" &amp; D4 &amp; "'!M24")</f>
        <v>#REF!</v>
      </c>
      <c r="E30" s="9" t="str">
        <f t="shared" si="14"/>
        <v/>
      </c>
      <c r="F30" s="18" t="str">
        <f t="shared" si="14"/>
        <v>#REF!</v>
      </c>
      <c r="G30" s="9" t="str">
        <f t="shared" si="14"/>
        <v/>
      </c>
      <c r="H30" s="18" t="str">
        <f t="shared" si="14"/>
        <v>#REF!</v>
      </c>
      <c r="I30" s="9" t="str">
        <f t="shared" si="14"/>
        <v/>
      </c>
      <c r="J30" s="19" t="str">
        <f t="shared" si="14"/>
        <v>#REF!</v>
      </c>
      <c r="K30" s="9" t="str">
        <f t="shared" si="14"/>
        <v/>
      </c>
      <c r="L30" s="19" t="str">
        <f t="shared" si="14"/>
        <v>#REF!</v>
      </c>
      <c r="M30" s="9" t="str">
        <f t="shared" si="14"/>
        <v/>
      </c>
      <c r="N30" s="19" t="str">
        <f t="shared" si="14"/>
        <v/>
      </c>
      <c r="O30" s="9" t="str">
        <f t="shared" si="14"/>
        <v/>
      </c>
      <c r="P30" s="17" t="str">
        <f t="shared" si="2"/>
        <v>DEPOT AUTO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8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7" t="str">
        <f t="shared" si="2"/>
        <v/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23.25" customHeight="1">
      <c r="A32" s="9"/>
      <c r="B32" s="17" t="s">
        <v>35</v>
      </c>
      <c r="C32" s="9"/>
      <c r="D32" s="18" t="str">
        <f t="shared" ref="D32:O32" si="15">INDIRECT("'" &amp; D4 &amp; "'!M25")</f>
        <v>#REF!</v>
      </c>
      <c r="E32" s="9" t="str">
        <f t="shared" si="15"/>
        <v/>
      </c>
      <c r="F32" s="18" t="str">
        <f t="shared" si="15"/>
        <v>#REF!</v>
      </c>
      <c r="G32" s="9" t="str">
        <f t="shared" si="15"/>
        <v/>
      </c>
      <c r="H32" s="18" t="str">
        <f t="shared" si="15"/>
        <v>#REF!</v>
      </c>
      <c r="I32" s="9" t="str">
        <f t="shared" si="15"/>
        <v/>
      </c>
      <c r="J32" s="19" t="str">
        <f t="shared" si="15"/>
        <v>#REF!</v>
      </c>
      <c r="K32" s="9" t="str">
        <f t="shared" si="15"/>
        <v/>
      </c>
      <c r="L32" s="19" t="str">
        <f t="shared" si="15"/>
        <v>#REF!</v>
      </c>
      <c r="M32" s="9" t="str">
        <f t="shared" si="15"/>
        <v/>
      </c>
      <c r="N32" s="19" t="str">
        <f t="shared" si="15"/>
        <v/>
      </c>
      <c r="O32" s="9" t="str">
        <f t="shared" si="15"/>
        <v/>
      </c>
      <c r="P32" s="17" t="str">
        <f t="shared" si="2"/>
        <v>OUTPOST AUTO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0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7" t="str">
        <f t="shared" si="2"/>
        <v/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23.25" customHeight="1">
      <c r="A34" s="9"/>
      <c r="B34" s="17" t="s">
        <v>36</v>
      </c>
      <c r="C34" s="9"/>
      <c r="D34" s="18" t="str">
        <f t="shared" ref="D34:O34" si="16">INDIRECT("'" &amp; D4 &amp; "'!G5")</f>
        <v>#REF!</v>
      </c>
      <c r="E34" s="9" t="str">
        <f t="shared" si="16"/>
        <v/>
      </c>
      <c r="F34" s="18" t="str">
        <f t="shared" si="16"/>
        <v>#REF!</v>
      </c>
      <c r="G34" s="9" t="str">
        <f t="shared" si="16"/>
        <v/>
      </c>
      <c r="H34" s="18" t="str">
        <f t="shared" si="16"/>
        <v>#REF!</v>
      </c>
      <c r="I34" s="9" t="str">
        <f t="shared" si="16"/>
        <v/>
      </c>
      <c r="J34" s="19" t="str">
        <f t="shared" si="16"/>
        <v>#REF!</v>
      </c>
      <c r="K34" s="9" t="str">
        <f t="shared" si="16"/>
        <v/>
      </c>
      <c r="L34" s="19" t="str">
        <f t="shared" si="16"/>
        <v>#REF!</v>
      </c>
      <c r="M34" s="9" t="str">
        <f t="shared" si="16"/>
        <v/>
      </c>
      <c r="N34" s="19" t="str">
        <f t="shared" si="16"/>
        <v>SWERVE</v>
      </c>
      <c r="O34" s="9" t="str">
        <f t="shared" si="16"/>
        <v/>
      </c>
      <c r="P34" s="17" t="str">
        <f t="shared" si="2"/>
        <v>ROBOT WEIGHT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9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tr">
        <f t="shared" si="2"/>
        <v/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23.25" customHeight="1">
      <c r="A36" s="9"/>
      <c r="B36" s="9" t="s">
        <v>23</v>
      </c>
      <c r="C36" s="9"/>
      <c r="D36" s="18">
        <f t="shared" ref="D36:N36" si="17">D4</f>
        <v>7031</v>
      </c>
      <c r="E36" s="9" t="str">
        <f t="shared" si="17"/>
        <v/>
      </c>
      <c r="F36" s="18">
        <f t="shared" si="17"/>
        <v>7718</v>
      </c>
      <c r="G36" s="9" t="str">
        <f t="shared" si="17"/>
        <v/>
      </c>
      <c r="H36" s="18">
        <f t="shared" si="17"/>
        <v>1880</v>
      </c>
      <c r="I36" s="9" t="str">
        <f t="shared" si="17"/>
        <v/>
      </c>
      <c r="J36" s="19">
        <f t="shared" si="17"/>
        <v>250</v>
      </c>
      <c r="K36" s="9" t="str">
        <f t="shared" si="17"/>
        <v/>
      </c>
      <c r="L36" s="19">
        <f t="shared" si="17"/>
        <v>4121</v>
      </c>
      <c r="M36" s="9" t="str">
        <f t="shared" si="17"/>
        <v/>
      </c>
      <c r="N36" s="19">
        <f t="shared" si="17"/>
        <v>263</v>
      </c>
      <c r="O36" s="9"/>
      <c r="P36" s="9" t="str">
        <f t="shared" si="2"/>
        <v>TEAM NUMBER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23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23.25" customHeight="1">
      <c r="A38" s="9"/>
      <c r="B38" s="9"/>
      <c r="C38" s="9"/>
      <c r="D38" s="9"/>
      <c r="E38" s="18" t="s">
        <v>37</v>
      </c>
      <c r="H38" s="22" t="str">
        <f>SUM(D6:H6)</f>
        <v>#REF!</v>
      </c>
      <c r="I38" s="9"/>
      <c r="J38" s="19" t="str">
        <f>SUM(J6:N6)</f>
        <v>#REF!</v>
      </c>
      <c r="K38" s="19" t="s">
        <v>37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23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23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23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23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23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23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23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23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23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23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23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23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23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23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23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23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23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23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23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23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23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23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23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23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23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23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23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23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23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23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23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23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23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23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23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23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23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23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23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23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23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23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23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23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23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23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23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23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23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23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23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23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23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23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23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23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23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23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23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23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23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23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23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23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23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23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23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23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23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23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23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23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23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23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23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23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23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23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23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23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23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23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23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23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23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23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23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23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23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23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23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23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23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23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23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23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23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23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23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23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23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23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23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23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23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23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23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23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23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23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ht="23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ht="23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ht="23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ht="23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ht="23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ht="23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23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23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23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23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23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23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23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23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23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23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23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23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23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23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23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23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23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23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23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23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23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23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23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23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23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23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ht="23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23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ht="23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ht="23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ht="23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ht="23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ht="23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ht="23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23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ht="23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ht="23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ht="23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ht="23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ht="23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ht="23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ht="23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ht="23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ht="23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ht="23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ht="23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ht="23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ht="23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ht="23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23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ht="23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ht="23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ht="23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ht="23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ht="23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ht="23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ht="23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23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23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23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23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23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23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23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23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23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23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23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23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23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23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23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23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23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23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23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23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23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23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23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23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23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23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23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ht="23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ht="23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ht="23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ht="23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ht="23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23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ht="23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ht="23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ht="23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23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ht="23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ht="23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ht="23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ht="23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ht="23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ht="23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ht="23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ht="23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ht="23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ht="23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23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ht="23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ht="23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ht="23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ht="23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ht="23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ht="23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ht="23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ht="23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ht="23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ht="23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ht="23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ht="23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ht="23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ht="23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ht="23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ht="23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ht="23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ht="23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ht="23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ht="23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ht="23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ht="23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ht="23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ht="23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ht="23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ht="23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ht="23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ht="23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ht="23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ht="23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ht="23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ht="23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ht="23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23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23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ht="23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ht="23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ht="23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ht="23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ht="23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ht="23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ht="23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ht="23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ht="23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ht="23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ht="23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ht="23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ht="23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ht="23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ht="23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ht="23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ht="23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ht="23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ht="23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ht="23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ht="23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ht="23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ht="23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ht="23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ht="23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ht="23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ht="23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ht="23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ht="23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ht="23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ht="23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ht="23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ht="23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ht="23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ht="23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ht="23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ht="23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ht="23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ht="23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ht="23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ht="23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ht="23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ht="23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ht="23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ht="23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ht="23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ht="23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ht="23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ht="23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ht="23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ht="23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23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23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23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23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ht="23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ht="23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ht="23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ht="23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23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23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23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23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23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ht="23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ht="23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ht="23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ht="23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ht="23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ht="23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ht="23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ht="23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ht="23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ht="23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ht="23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ht="23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ht="23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ht="23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23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23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ht="23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ht="23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ht="23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ht="23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23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23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ht="23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ht="23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ht="23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ht="23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ht="23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ht="23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ht="23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ht="23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ht="23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23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23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ht="23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ht="23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ht="23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ht="23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ht="23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ht="23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ht="23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ht="23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23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23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ht="23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ht="23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ht="23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ht="23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ht="23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ht="23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ht="23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ht="23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ht="23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ht="23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ht="23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ht="23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ht="23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ht="23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ht="23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ht="23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ht="23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ht="23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ht="23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ht="23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ht="23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ht="23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ht="23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ht="23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ht="23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ht="23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ht="23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ht="23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ht="23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ht="23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ht="23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ht="23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ht="23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ht="23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ht="23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ht="23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ht="23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ht="23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ht="23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ht="23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ht="23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ht="23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ht="23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ht="23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ht="23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ht="23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ht="23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ht="23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ht="23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ht="23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ht="23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ht="23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ht="23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ht="23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ht="23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ht="23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ht="23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ht="23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ht="23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ht="23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ht="23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ht="23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ht="23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ht="23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ht="23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ht="23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ht="23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ht="23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ht="23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ht="23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ht="23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ht="23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ht="23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ht="23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ht="23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ht="23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ht="23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ht="23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ht="23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ht="23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ht="23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ht="23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ht="23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ht="23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ht="23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</row>
  </sheetData>
  <mergeCells count="2">
    <mergeCell ref="E38:G38"/>
    <mergeCell ref="K38:M3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8.0"/>
    <col customWidth="1" min="3" max="3" width="3.0"/>
    <col customWidth="1" min="4" max="4" width="16.13"/>
    <col customWidth="1" min="5" max="5" width="3.0"/>
    <col customWidth="1" min="6" max="6" width="16.13"/>
    <col customWidth="1" min="7" max="7" width="3.0"/>
    <col customWidth="1" min="8" max="8" width="16.13"/>
    <col customWidth="1" min="9" max="9" width="3.0"/>
    <col customWidth="1" min="10" max="10" width="16.13"/>
    <col customWidth="1" min="11" max="11" width="3.0"/>
    <col customWidth="1" min="12" max="12" width="16.13"/>
    <col customWidth="1" min="13" max="13" width="3.0"/>
    <col customWidth="1" min="14" max="14" width="16.13"/>
    <col customWidth="1" min="15" max="15" width="3.0"/>
    <col customWidth="1" min="16" max="16" width="20.0"/>
    <col customWidth="1" min="17" max="30" width="16.13"/>
  </cols>
  <sheetData>
    <row r="1" ht="8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ht="23.25" customHeight="1">
      <c r="A2" s="9"/>
      <c r="B2" s="9"/>
      <c r="C2" s="14"/>
      <c r="D2" s="15" t="s">
        <v>17</v>
      </c>
      <c r="E2" s="14"/>
      <c r="F2" s="15" t="s">
        <v>18</v>
      </c>
      <c r="G2" s="14"/>
      <c r="H2" s="15" t="s">
        <v>19</v>
      </c>
      <c r="I2" s="14"/>
      <c r="J2" s="16" t="s">
        <v>20</v>
      </c>
      <c r="K2" s="14"/>
      <c r="L2" s="16" t="s">
        <v>21</v>
      </c>
      <c r="M2" s="14"/>
      <c r="N2" s="16" t="s">
        <v>22</v>
      </c>
      <c r="O2" s="14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8.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23.25" customHeight="1">
      <c r="A4" s="9"/>
      <c r="B4" s="14" t="s">
        <v>23</v>
      </c>
      <c r="C4" s="9"/>
      <c r="D4" s="15">
        <v>10413.0</v>
      </c>
      <c r="E4" s="14"/>
      <c r="F4" s="15">
        <v>5590.0</v>
      </c>
      <c r="G4" s="14"/>
      <c r="H4" s="15">
        <v>1559.0</v>
      </c>
      <c r="I4" s="14"/>
      <c r="J4" s="16">
        <v>263.0</v>
      </c>
      <c r="K4" s="14"/>
      <c r="L4" s="16">
        <v>677.0</v>
      </c>
      <c r="M4" s="14"/>
      <c r="N4" s="16">
        <v>6806.0</v>
      </c>
      <c r="O4" s="14"/>
      <c r="P4" s="14" t="s">
        <v>23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8.2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23.25" customHeight="1">
      <c r="A6" s="9"/>
      <c r="B6" s="17" t="s">
        <v>10</v>
      </c>
      <c r="C6" s="9"/>
      <c r="D6" s="18" t="str">
        <f t="shared" ref="D6:O6" si="1">INDIRECT("'" &amp; D4 &amp; "'!C4")</f>
        <v>#REF!</v>
      </c>
      <c r="E6" s="9" t="str">
        <f t="shared" si="1"/>
        <v/>
      </c>
      <c r="F6" s="18" t="str">
        <f t="shared" si="1"/>
        <v>#REF!</v>
      </c>
      <c r="G6" s="9" t="str">
        <f t="shared" si="1"/>
        <v/>
      </c>
      <c r="H6" s="18" t="str">
        <f t="shared" si="1"/>
        <v>#REF!</v>
      </c>
      <c r="I6" s="9" t="str">
        <f t="shared" si="1"/>
        <v/>
      </c>
      <c r="J6" s="19">
        <f t="shared" si="1"/>
        <v>79.71</v>
      </c>
      <c r="K6" s="9" t="str">
        <f t="shared" si="1"/>
        <v/>
      </c>
      <c r="L6" s="19" t="str">
        <f t="shared" si="1"/>
        <v>#REF!</v>
      </c>
      <c r="M6" s="9" t="str">
        <f t="shared" si="1"/>
        <v/>
      </c>
      <c r="N6" s="19" t="str">
        <f t="shared" si="1"/>
        <v>#REF!</v>
      </c>
      <c r="O6" s="9" t="str">
        <f t="shared" si="1"/>
        <v/>
      </c>
      <c r="P6" s="17" t="str">
        <f t="shared" ref="P6:P36" si="2">B6</f>
        <v>TOTAL EPA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8.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7" t="str">
        <f t="shared" si="2"/>
        <v/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ht="23.25" customHeight="1">
      <c r="A8" s="9"/>
      <c r="B8" s="17" t="s">
        <v>11</v>
      </c>
      <c r="C8" s="17"/>
      <c r="D8" s="20" t="str">
        <f t="shared" ref="D8:O8" si="3">INDIRECT("'" &amp; D4 &amp; "'!C6")</f>
        <v>#REF!</v>
      </c>
      <c r="E8" s="17" t="str">
        <f t="shared" si="3"/>
        <v/>
      </c>
      <c r="F8" s="20" t="str">
        <f t="shared" si="3"/>
        <v>#REF!</v>
      </c>
      <c r="G8" s="17" t="str">
        <f t="shared" si="3"/>
        <v/>
      </c>
      <c r="H8" s="20" t="str">
        <f t="shared" si="3"/>
        <v>#REF!</v>
      </c>
      <c r="I8" s="17" t="str">
        <f t="shared" si="3"/>
        <v/>
      </c>
      <c r="J8" s="21">
        <f t="shared" si="3"/>
        <v>17.33</v>
      </c>
      <c r="K8" s="17" t="str">
        <f t="shared" si="3"/>
        <v/>
      </c>
      <c r="L8" s="21" t="str">
        <f t="shared" si="3"/>
        <v>#REF!</v>
      </c>
      <c r="M8" s="17" t="str">
        <f t="shared" si="3"/>
        <v/>
      </c>
      <c r="N8" s="21" t="str">
        <f t="shared" si="3"/>
        <v>#REF!</v>
      </c>
      <c r="O8" s="17" t="str">
        <f t="shared" si="3"/>
        <v/>
      </c>
      <c r="P8" s="17" t="str">
        <f t="shared" si="2"/>
        <v>AUTO EPA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ht="8.2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7" t="str">
        <f t="shared" si="2"/>
        <v/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23.25" customHeight="1">
      <c r="A10" s="9"/>
      <c r="B10" s="17" t="s">
        <v>24</v>
      </c>
      <c r="C10" s="9"/>
      <c r="D10" s="20" t="str">
        <f t="shared" ref="D10:O10" si="4">INDIRECT("'" &amp; D4 &amp; "'!C8")</f>
        <v>#REF!</v>
      </c>
      <c r="E10" s="17" t="str">
        <f t="shared" si="4"/>
        <v/>
      </c>
      <c r="F10" s="20" t="str">
        <f t="shared" si="4"/>
        <v>#REF!</v>
      </c>
      <c r="G10" s="17" t="str">
        <f t="shared" si="4"/>
        <v/>
      </c>
      <c r="H10" s="20" t="str">
        <f t="shared" si="4"/>
        <v>#REF!</v>
      </c>
      <c r="I10" s="17" t="str">
        <f t="shared" si="4"/>
        <v/>
      </c>
      <c r="J10" s="21">
        <f t="shared" si="4"/>
        <v>41.46</v>
      </c>
      <c r="K10" s="17" t="str">
        <f t="shared" si="4"/>
        <v/>
      </c>
      <c r="L10" s="21" t="str">
        <f t="shared" si="4"/>
        <v>#REF!</v>
      </c>
      <c r="M10" s="17" t="str">
        <f t="shared" si="4"/>
        <v/>
      </c>
      <c r="N10" s="21" t="str">
        <f t="shared" si="4"/>
        <v>#REF!</v>
      </c>
      <c r="O10" s="17" t="str">
        <f t="shared" si="4"/>
        <v/>
      </c>
      <c r="P10" s="17" t="str">
        <f t="shared" si="2"/>
        <v>TELE-OP EPA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ht="8.2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7" t="str">
        <f t="shared" si="2"/>
        <v/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ht="23.25" customHeight="1">
      <c r="A12" s="9"/>
      <c r="B12" s="17" t="s">
        <v>25</v>
      </c>
      <c r="C12" s="17"/>
      <c r="D12" s="20" t="str">
        <f t="shared" ref="D12:O12" si="5">INDIRECT("'" &amp; D4 &amp; "'!C10")</f>
        <v>#REF!</v>
      </c>
      <c r="E12" s="17" t="str">
        <f t="shared" si="5"/>
        <v/>
      </c>
      <c r="F12" s="20" t="str">
        <f t="shared" si="5"/>
        <v>#REF!</v>
      </c>
      <c r="G12" s="17" t="str">
        <f t="shared" si="5"/>
        <v/>
      </c>
      <c r="H12" s="20" t="str">
        <f t="shared" si="5"/>
        <v>#REF!</v>
      </c>
      <c r="I12" s="17" t="str">
        <f t="shared" si="5"/>
        <v/>
      </c>
      <c r="J12" s="21">
        <f t="shared" si="5"/>
        <v>20.92</v>
      </c>
      <c r="K12" s="17" t="str">
        <f t="shared" si="5"/>
        <v/>
      </c>
      <c r="L12" s="21" t="str">
        <f t="shared" si="5"/>
        <v>#REF!</v>
      </c>
      <c r="M12" s="17" t="str">
        <f t="shared" si="5"/>
        <v/>
      </c>
      <c r="N12" s="21" t="str">
        <f t="shared" si="5"/>
        <v>#REF!</v>
      </c>
      <c r="O12" s="17" t="str">
        <f t="shared" si="5"/>
        <v/>
      </c>
      <c r="P12" s="17" t="str">
        <f t="shared" si="2"/>
        <v>ENDGAME EPA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ht="8.2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7" t="str">
        <f t="shared" si="2"/>
        <v/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23.25" customHeight="1">
      <c r="A14" s="9"/>
      <c r="B14" s="17" t="s">
        <v>26</v>
      </c>
      <c r="C14" s="9"/>
      <c r="D14" s="18" t="str">
        <f t="array" ref="D14">INDIRECT("'" &amp; D4 &amp; "'!J12")</f>
        <v>#REF!</v>
      </c>
      <c r="E14" s="9"/>
      <c r="F14" s="18" t="str">
        <f t="array" ref="F14">INDIRECT("'" &amp; F4 &amp; "'!J12")</f>
        <v>#REF!</v>
      </c>
      <c r="G14" s="9"/>
      <c r="H14" s="18" t="str">
        <f t="array" ref="H14">INDIRECT("'" &amp; H4 &amp; "'!J12")</f>
        <v>#REF!</v>
      </c>
      <c r="I14" s="9"/>
      <c r="J14" s="19" t="str">
        <f t="array" ref="J14">INDIRECT("'" &amp; J4 &amp; "'!J12")</f>
        <v/>
      </c>
      <c r="K14" s="9"/>
      <c r="L14" s="19" t="str">
        <f t="array" ref="L14">INDIRECT("'" &amp; L4 &amp; "'!J12")</f>
        <v>#REF!</v>
      </c>
      <c r="M14" s="9"/>
      <c r="N14" s="19" t="str">
        <f t="array" ref="N14">INDIRECT("'" &amp; N4 &amp; "'!J12")</f>
        <v>#REF!</v>
      </c>
      <c r="O14" s="9"/>
      <c r="P14" s="17" t="str">
        <f t="shared" si="2"/>
        <v>TRENCH?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8.2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7" t="str">
        <f t="shared" si="2"/>
        <v/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23.25" customHeight="1">
      <c r="A16" s="9"/>
      <c r="B16" s="17" t="s">
        <v>27</v>
      </c>
      <c r="C16" s="17"/>
      <c r="D16" s="20" t="str">
        <f t="shared" ref="D16:O16" si="6">INDIRECT("'" &amp; D4 &amp; "'!J5")</f>
        <v>#REF!</v>
      </c>
      <c r="E16" s="17" t="str">
        <f t="shared" si="6"/>
        <v/>
      </c>
      <c r="F16" s="20" t="str">
        <f t="shared" si="6"/>
        <v>#REF!</v>
      </c>
      <c r="G16" s="17" t="str">
        <f t="shared" si="6"/>
        <v/>
      </c>
      <c r="H16" s="20" t="str">
        <f t="shared" si="6"/>
        <v>#REF!</v>
      </c>
      <c r="I16" s="17" t="str">
        <f t="shared" si="6"/>
        <v/>
      </c>
      <c r="J16" s="21" t="str">
        <f t="shared" si="6"/>
        <v/>
      </c>
      <c r="K16" s="17" t="str">
        <f t="shared" si="6"/>
        <v/>
      </c>
      <c r="L16" s="21" t="str">
        <f t="shared" si="6"/>
        <v>#REF!</v>
      </c>
      <c r="M16" s="17" t="str">
        <f t="shared" si="6"/>
        <v/>
      </c>
      <c r="N16" s="21" t="str">
        <f t="shared" si="6"/>
        <v>#REF!</v>
      </c>
      <c r="O16" s="17" t="str">
        <f t="shared" si="6"/>
        <v/>
      </c>
      <c r="P16" s="17" t="str">
        <f t="shared" si="2"/>
        <v>DRIVE BASE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8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7" t="str">
        <f t="shared" si="2"/>
        <v/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23.25" customHeight="1">
      <c r="A18" s="9"/>
      <c r="B18" s="17" t="s">
        <v>28</v>
      </c>
      <c r="C18" s="9"/>
      <c r="D18" s="20" t="str">
        <f t="shared" ref="D18:O18" si="7">INDIRECT("'" &amp; D4 &amp; "'!M12")</f>
        <v>#REF!</v>
      </c>
      <c r="E18" s="17" t="str">
        <f t="shared" si="7"/>
        <v/>
      </c>
      <c r="F18" s="20" t="str">
        <f t="shared" si="7"/>
        <v>#REF!</v>
      </c>
      <c r="G18" s="17" t="str">
        <f t="shared" si="7"/>
        <v/>
      </c>
      <c r="H18" s="20" t="str">
        <f t="shared" si="7"/>
        <v>#REF!</v>
      </c>
      <c r="I18" s="17" t="str">
        <f t="shared" si="7"/>
        <v/>
      </c>
      <c r="J18" s="21" t="str">
        <f t="shared" si="7"/>
        <v/>
      </c>
      <c r="K18" s="17" t="str">
        <f t="shared" si="7"/>
        <v/>
      </c>
      <c r="L18" s="21" t="str">
        <f t="shared" si="7"/>
        <v>#REF!</v>
      </c>
      <c r="M18" s="17" t="str">
        <f t="shared" si="7"/>
        <v/>
      </c>
      <c r="N18" s="21" t="str">
        <f t="shared" si="7"/>
        <v>#REF!</v>
      </c>
      <c r="O18" s="17" t="str">
        <f t="shared" si="7"/>
        <v/>
      </c>
      <c r="P18" s="17" t="str">
        <f t="shared" si="2"/>
        <v>SHOOTER STYLE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8.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7" t="str">
        <f t="shared" si="2"/>
        <v/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ht="23.25" customHeight="1">
      <c r="A20" s="9"/>
      <c r="B20" s="17" t="s">
        <v>29</v>
      </c>
      <c r="C20" s="9"/>
      <c r="D20" s="18" t="str">
        <f t="shared" ref="D20:O20" si="8">INDIRECT("'" &amp; D4 &amp; "'!M13")</f>
        <v>#REF!</v>
      </c>
      <c r="E20" s="9" t="str">
        <f t="shared" si="8"/>
        <v/>
      </c>
      <c r="F20" s="18" t="str">
        <f t="shared" si="8"/>
        <v>#REF!</v>
      </c>
      <c r="G20" s="9" t="str">
        <f t="shared" si="8"/>
        <v/>
      </c>
      <c r="H20" s="18" t="str">
        <f t="shared" si="8"/>
        <v>#REF!</v>
      </c>
      <c r="I20" s="9" t="str">
        <f t="shared" si="8"/>
        <v/>
      </c>
      <c r="J20" s="19" t="str">
        <f t="shared" si="8"/>
        <v/>
      </c>
      <c r="K20" s="9" t="str">
        <f t="shared" si="8"/>
        <v/>
      </c>
      <c r="L20" s="19" t="str">
        <f t="shared" si="8"/>
        <v>#REF!</v>
      </c>
      <c r="M20" s="9" t="str">
        <f t="shared" si="8"/>
        <v/>
      </c>
      <c r="N20" s="19" t="str">
        <f t="shared" si="8"/>
        <v>#REF!</v>
      </c>
      <c r="O20" s="9" t="str">
        <f t="shared" si="8"/>
        <v/>
      </c>
      <c r="P20" s="17" t="str">
        <f t="shared" si="2"/>
        <v># OF LANES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8.2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7" t="str">
        <f t="shared" si="2"/>
        <v/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23.25" customHeight="1">
      <c r="A22" s="9"/>
      <c r="B22" s="14" t="s">
        <v>30</v>
      </c>
      <c r="C22" s="9"/>
      <c r="D22" s="18" t="str">
        <f t="shared" ref="D22:H22" si="9">INDIRECT("'" &amp; D4 &amp; "'!J17")</f>
        <v>#REF!</v>
      </c>
      <c r="E22" s="9" t="str">
        <f t="shared" si="9"/>
        <v/>
      </c>
      <c r="F22" s="18" t="str">
        <f t="shared" si="9"/>
        <v>#REF!</v>
      </c>
      <c r="G22" s="9" t="str">
        <f t="shared" si="9"/>
        <v/>
      </c>
      <c r="H22" s="18" t="str">
        <f t="shared" si="9"/>
        <v>#REF!</v>
      </c>
      <c r="I22" s="9"/>
      <c r="J22" s="19" t="str">
        <f t="shared" ref="J22:N22" si="10">INDIRECT("'" &amp; J4 &amp; "'!J17")</f>
        <v/>
      </c>
      <c r="K22" s="9" t="str">
        <f t="shared" si="10"/>
        <v/>
      </c>
      <c r="L22" s="19" t="str">
        <f t="shared" si="10"/>
        <v>#REF!</v>
      </c>
      <c r="M22" s="9" t="str">
        <f t="shared" si="10"/>
        <v/>
      </c>
      <c r="N22" s="19" t="str">
        <f t="shared" si="10"/>
        <v>#REF!</v>
      </c>
      <c r="O22" s="9"/>
      <c r="P22" s="17" t="str">
        <f t="shared" si="2"/>
        <v>HOPPER CAPACITY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8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7" t="str">
        <f t="shared" si="2"/>
        <v/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23.25" customHeight="1">
      <c r="A24" s="9"/>
      <c r="B24" s="17" t="s">
        <v>31</v>
      </c>
      <c r="C24" s="9"/>
      <c r="D24" s="18" t="str">
        <f t="shared" ref="D24:O24" si="11">INDIRECT("'" &amp; D4 &amp; "'!M21")</f>
        <v>#REF!</v>
      </c>
      <c r="E24" s="9" t="str">
        <f t="shared" si="11"/>
        <v/>
      </c>
      <c r="F24" s="18" t="str">
        <f t="shared" si="11"/>
        <v>#REF!</v>
      </c>
      <c r="G24" s="9" t="str">
        <f t="shared" si="11"/>
        <v/>
      </c>
      <c r="H24" s="18" t="str">
        <f t="shared" si="11"/>
        <v>#REF!</v>
      </c>
      <c r="I24" s="9" t="str">
        <f t="shared" si="11"/>
        <v/>
      </c>
      <c r="J24" s="19" t="str">
        <f t="shared" si="11"/>
        <v/>
      </c>
      <c r="K24" s="9" t="str">
        <f t="shared" si="11"/>
        <v/>
      </c>
      <c r="L24" s="19" t="str">
        <f t="shared" si="11"/>
        <v>#REF!</v>
      </c>
      <c r="M24" s="9" t="str">
        <f t="shared" si="11"/>
        <v/>
      </c>
      <c r="N24" s="19" t="str">
        <f t="shared" si="11"/>
        <v>#REF!</v>
      </c>
      <c r="O24" s="9" t="str">
        <f t="shared" si="11"/>
        <v/>
      </c>
      <c r="P24" s="17" t="str">
        <f t="shared" si="2"/>
        <v>SHOOT PRELOAD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8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7" t="str">
        <f t="shared" si="2"/>
        <v/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23.25" customHeight="1">
      <c r="A26" s="9"/>
      <c r="B26" s="17" t="s">
        <v>32</v>
      </c>
      <c r="C26" s="9"/>
      <c r="D26" s="18" t="str">
        <f t="shared" ref="D26:O26" si="12">INDIRECT("'" &amp; D4 &amp; "'!M22")</f>
        <v>#REF!</v>
      </c>
      <c r="E26" s="9" t="str">
        <f t="shared" si="12"/>
        <v/>
      </c>
      <c r="F26" s="18" t="str">
        <f t="shared" si="12"/>
        <v>#REF!</v>
      </c>
      <c r="G26" s="9" t="str">
        <f t="shared" si="12"/>
        <v/>
      </c>
      <c r="H26" s="18" t="str">
        <f t="shared" si="12"/>
        <v>#REF!</v>
      </c>
      <c r="I26" s="9" t="str">
        <f t="shared" si="12"/>
        <v/>
      </c>
      <c r="J26" s="19" t="str">
        <f t="shared" si="12"/>
        <v/>
      </c>
      <c r="K26" s="9" t="str">
        <f t="shared" si="12"/>
        <v/>
      </c>
      <c r="L26" s="19" t="str">
        <f t="shared" si="12"/>
        <v>#REF!</v>
      </c>
      <c r="M26" s="9" t="str">
        <f t="shared" si="12"/>
        <v/>
      </c>
      <c r="N26" s="19" t="str">
        <f t="shared" si="12"/>
        <v>#REF!</v>
      </c>
      <c r="O26" s="9" t="str">
        <f t="shared" si="12"/>
        <v/>
      </c>
      <c r="P26" s="17" t="str">
        <f t="shared" si="2"/>
        <v>CENTER AUTO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8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7" t="str">
        <f t="shared" si="2"/>
        <v/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23.25" customHeight="1">
      <c r="A28" s="9"/>
      <c r="B28" s="17" t="s">
        <v>33</v>
      </c>
      <c r="C28" s="9"/>
      <c r="D28" s="18" t="str">
        <f t="shared" ref="D28:O28" si="13">INDIRECT("'" &amp; D4 &amp; "'!M23")</f>
        <v>#REF!</v>
      </c>
      <c r="E28" s="9" t="str">
        <f t="shared" si="13"/>
        <v/>
      </c>
      <c r="F28" s="18" t="str">
        <f t="shared" si="13"/>
        <v>#REF!</v>
      </c>
      <c r="G28" s="9" t="str">
        <f t="shared" si="13"/>
        <v/>
      </c>
      <c r="H28" s="18" t="str">
        <f t="shared" si="13"/>
        <v>#REF!</v>
      </c>
      <c r="I28" s="9" t="str">
        <f t="shared" si="13"/>
        <v/>
      </c>
      <c r="J28" s="19" t="str">
        <f t="shared" si="13"/>
        <v/>
      </c>
      <c r="K28" s="9" t="str">
        <f t="shared" si="13"/>
        <v/>
      </c>
      <c r="L28" s="19" t="str">
        <f t="shared" si="13"/>
        <v>#REF!</v>
      </c>
      <c r="M28" s="9" t="str">
        <f t="shared" si="13"/>
        <v/>
      </c>
      <c r="N28" s="19" t="str">
        <f t="shared" si="13"/>
        <v>#REF!</v>
      </c>
      <c r="O28" s="9" t="str">
        <f t="shared" si="13"/>
        <v/>
      </c>
      <c r="P28" s="17" t="str">
        <f t="shared" si="2"/>
        <v># OF SWEEPS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8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7" t="str">
        <f t="shared" si="2"/>
        <v/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23.25" customHeight="1">
      <c r="A30" s="9"/>
      <c r="B30" s="17" t="s">
        <v>34</v>
      </c>
      <c r="C30" s="9"/>
      <c r="D30" s="18" t="str">
        <f t="shared" ref="D30:O30" si="14">INDIRECT("'" &amp; D4 &amp; "'!M24")</f>
        <v>#REF!</v>
      </c>
      <c r="E30" s="9" t="str">
        <f t="shared" si="14"/>
        <v/>
      </c>
      <c r="F30" s="18" t="str">
        <f t="shared" si="14"/>
        <v>#REF!</v>
      </c>
      <c r="G30" s="9" t="str">
        <f t="shared" si="14"/>
        <v/>
      </c>
      <c r="H30" s="18" t="str">
        <f t="shared" si="14"/>
        <v>#REF!</v>
      </c>
      <c r="I30" s="9" t="str">
        <f t="shared" si="14"/>
        <v/>
      </c>
      <c r="J30" s="19" t="str">
        <f t="shared" si="14"/>
        <v/>
      </c>
      <c r="K30" s="9" t="str">
        <f t="shared" si="14"/>
        <v/>
      </c>
      <c r="L30" s="19" t="str">
        <f t="shared" si="14"/>
        <v>#REF!</v>
      </c>
      <c r="M30" s="9" t="str">
        <f t="shared" si="14"/>
        <v/>
      </c>
      <c r="N30" s="19" t="str">
        <f t="shared" si="14"/>
        <v>#REF!</v>
      </c>
      <c r="O30" s="9" t="str">
        <f t="shared" si="14"/>
        <v/>
      </c>
      <c r="P30" s="17" t="str">
        <f t="shared" si="2"/>
        <v>DEPOT AUTO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8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7" t="str">
        <f t="shared" si="2"/>
        <v/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23.25" customHeight="1">
      <c r="A32" s="9"/>
      <c r="B32" s="17" t="s">
        <v>35</v>
      </c>
      <c r="C32" s="9"/>
      <c r="D32" s="18" t="str">
        <f t="shared" ref="D32:O32" si="15">INDIRECT("'" &amp; D4 &amp; "'!M25")</f>
        <v>#REF!</v>
      </c>
      <c r="E32" s="9" t="str">
        <f t="shared" si="15"/>
        <v/>
      </c>
      <c r="F32" s="18" t="str">
        <f t="shared" si="15"/>
        <v>#REF!</v>
      </c>
      <c r="G32" s="9" t="str">
        <f t="shared" si="15"/>
        <v/>
      </c>
      <c r="H32" s="18" t="str">
        <f t="shared" si="15"/>
        <v>#REF!</v>
      </c>
      <c r="I32" s="9" t="str">
        <f t="shared" si="15"/>
        <v/>
      </c>
      <c r="J32" s="19" t="str">
        <f t="shared" si="15"/>
        <v/>
      </c>
      <c r="K32" s="9" t="str">
        <f t="shared" si="15"/>
        <v/>
      </c>
      <c r="L32" s="19" t="str">
        <f t="shared" si="15"/>
        <v>#REF!</v>
      </c>
      <c r="M32" s="9" t="str">
        <f t="shared" si="15"/>
        <v/>
      </c>
      <c r="N32" s="19" t="str">
        <f t="shared" si="15"/>
        <v>#REF!</v>
      </c>
      <c r="O32" s="9" t="str">
        <f t="shared" si="15"/>
        <v/>
      </c>
      <c r="P32" s="17" t="str">
        <f t="shared" si="2"/>
        <v>OUTPOST AUTO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0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7" t="str">
        <f t="shared" si="2"/>
        <v/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23.25" customHeight="1">
      <c r="A34" s="9"/>
      <c r="B34" s="17" t="s">
        <v>36</v>
      </c>
      <c r="C34" s="9"/>
      <c r="D34" s="18" t="str">
        <f t="shared" ref="D34:O34" si="16">INDIRECT("'" &amp; D4 &amp; "'!G5")</f>
        <v>#REF!</v>
      </c>
      <c r="E34" s="9" t="str">
        <f t="shared" si="16"/>
        <v/>
      </c>
      <c r="F34" s="18" t="str">
        <f t="shared" si="16"/>
        <v>#REF!</v>
      </c>
      <c r="G34" s="9" t="str">
        <f t="shared" si="16"/>
        <v/>
      </c>
      <c r="H34" s="18" t="str">
        <f t="shared" si="16"/>
        <v>#REF!</v>
      </c>
      <c r="I34" s="9" t="str">
        <f t="shared" si="16"/>
        <v/>
      </c>
      <c r="J34" s="19" t="str">
        <f t="shared" si="16"/>
        <v>SWERVE</v>
      </c>
      <c r="K34" s="9" t="str">
        <f t="shared" si="16"/>
        <v/>
      </c>
      <c r="L34" s="19" t="str">
        <f t="shared" si="16"/>
        <v>#REF!</v>
      </c>
      <c r="M34" s="9" t="str">
        <f t="shared" si="16"/>
        <v/>
      </c>
      <c r="N34" s="19" t="str">
        <f t="shared" si="16"/>
        <v>#REF!</v>
      </c>
      <c r="O34" s="9" t="str">
        <f t="shared" si="16"/>
        <v/>
      </c>
      <c r="P34" s="17" t="str">
        <f t="shared" si="2"/>
        <v>ROBOT WEIGHT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9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tr">
        <f t="shared" si="2"/>
        <v/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23.25" customHeight="1">
      <c r="A36" s="9"/>
      <c r="B36" s="9" t="s">
        <v>23</v>
      </c>
      <c r="C36" s="9"/>
      <c r="D36" s="18">
        <f t="shared" ref="D36:N36" si="17">D4</f>
        <v>10413</v>
      </c>
      <c r="E36" s="9" t="str">
        <f t="shared" si="17"/>
        <v/>
      </c>
      <c r="F36" s="18">
        <f t="shared" si="17"/>
        <v>5590</v>
      </c>
      <c r="G36" s="9" t="str">
        <f t="shared" si="17"/>
        <v/>
      </c>
      <c r="H36" s="18">
        <f t="shared" si="17"/>
        <v>1559</v>
      </c>
      <c r="I36" s="9" t="str">
        <f t="shared" si="17"/>
        <v/>
      </c>
      <c r="J36" s="19">
        <f t="shared" si="17"/>
        <v>263</v>
      </c>
      <c r="K36" s="9" t="str">
        <f t="shared" si="17"/>
        <v/>
      </c>
      <c r="L36" s="19">
        <f t="shared" si="17"/>
        <v>677</v>
      </c>
      <c r="M36" s="9" t="str">
        <f t="shared" si="17"/>
        <v/>
      </c>
      <c r="N36" s="19">
        <f t="shared" si="17"/>
        <v>6806</v>
      </c>
      <c r="O36" s="9"/>
      <c r="P36" s="9" t="str">
        <f t="shared" si="2"/>
        <v>TEAM NUMBER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23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23.25" customHeight="1">
      <c r="A38" s="9"/>
      <c r="B38" s="9"/>
      <c r="C38" s="9"/>
      <c r="D38" s="9"/>
      <c r="E38" s="18" t="s">
        <v>37</v>
      </c>
      <c r="H38" s="22" t="str">
        <f>SUM(D6:H6)</f>
        <v>#REF!</v>
      </c>
      <c r="I38" s="9"/>
      <c r="J38" s="19" t="str">
        <f>SUM(J6:N6)</f>
        <v>#REF!</v>
      </c>
      <c r="K38" s="19" t="s">
        <v>37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23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23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23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23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23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23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23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23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23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23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23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23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23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23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23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23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23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23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23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23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23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23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23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23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23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23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23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23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23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23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23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23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23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23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23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23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23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23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23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23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23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23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23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23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23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23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23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23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23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23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23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23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23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23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23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23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23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23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23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23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23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23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23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23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23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23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23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23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23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23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23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23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23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23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23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23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23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23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23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23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23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23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23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23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23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23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23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23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23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23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23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23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23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23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23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23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23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23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23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23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23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23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23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23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23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23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23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23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23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23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ht="23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ht="23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ht="23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ht="23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ht="23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ht="23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23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23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23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23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23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23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23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23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23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23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23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23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23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23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23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23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23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23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23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23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23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23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23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23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23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23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ht="23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23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ht="23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ht="23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ht="23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ht="23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ht="23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ht="23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23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ht="23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ht="23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ht="23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ht="23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ht="23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ht="23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ht="23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ht="23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ht="23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ht="23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ht="23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ht="23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ht="23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ht="23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23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ht="23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ht="23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ht="23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ht="23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ht="23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ht="23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ht="23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23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23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23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23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23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23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23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23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23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23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23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23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23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23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23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23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23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23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23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23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23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23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23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23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23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23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23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ht="23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ht="23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ht="23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ht="23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ht="23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23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ht="23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ht="23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ht="23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23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ht="23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ht="23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ht="23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ht="23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ht="23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ht="23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ht="23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ht="23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ht="23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ht="23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23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ht="23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ht="23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ht="23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ht="23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ht="23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ht="23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ht="23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ht="23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ht="23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ht="23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ht="23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ht="23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ht="23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ht="23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ht="23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ht="23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ht="23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ht="23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ht="23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ht="23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ht="23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ht="23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ht="23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ht="23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ht="23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ht="23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ht="23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ht="23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ht="23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ht="23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ht="23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ht="23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ht="23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23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23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ht="23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ht="23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ht="23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ht="23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ht="23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ht="23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ht="23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ht="23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ht="23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ht="23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ht="23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ht="23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ht="23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ht="23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ht="23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ht="23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ht="23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ht="23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ht="23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ht="23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ht="23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ht="23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ht="23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ht="23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ht="23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ht="23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ht="23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ht="23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ht="23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ht="23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ht="23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ht="23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ht="23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ht="23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ht="23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ht="23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ht="23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ht="23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ht="23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ht="23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ht="23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ht="23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ht="23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ht="23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ht="23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ht="23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ht="23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ht="23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ht="23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ht="23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ht="23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23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23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23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23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ht="23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ht="23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ht="23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ht="23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23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23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23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23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23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ht="23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ht="23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ht="23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ht="23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ht="23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ht="23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ht="23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ht="23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ht="23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ht="23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ht="23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ht="23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ht="23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ht="23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23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23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ht="23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ht="23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ht="23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ht="23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23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23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ht="23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ht="23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ht="23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ht="23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ht="23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ht="23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ht="23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ht="23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ht="23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23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23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ht="23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ht="23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ht="23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ht="23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ht="23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ht="23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ht="23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ht="23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23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23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ht="23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ht="23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ht="23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ht="23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ht="23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ht="23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ht="23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ht="23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ht="23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ht="23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ht="23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ht="23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ht="23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ht="23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ht="23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ht="23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ht="23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ht="23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ht="23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ht="23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ht="23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ht="23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ht="23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ht="23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ht="23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ht="23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ht="23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ht="23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ht="23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ht="23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ht="23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ht="23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ht="23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ht="23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ht="23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ht="23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ht="23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ht="23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ht="23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ht="23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ht="23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ht="23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ht="23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ht="23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ht="23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ht="23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ht="23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ht="23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ht="23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ht="23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ht="23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ht="23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ht="23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ht="23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ht="23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ht="23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ht="23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ht="23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ht="23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ht="23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ht="23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ht="23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ht="23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ht="23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ht="23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ht="23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ht="23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ht="23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ht="23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ht="23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ht="23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ht="23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ht="23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ht="23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ht="23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ht="23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ht="23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ht="23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ht="23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ht="23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ht="23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ht="23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ht="23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ht="23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ht="23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</row>
  </sheetData>
  <mergeCells count="2">
    <mergeCell ref="E38:G38"/>
    <mergeCell ref="K38:M3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8.0"/>
    <col customWidth="1" min="3" max="3" width="3.0"/>
    <col customWidth="1" min="4" max="4" width="16.13"/>
    <col customWidth="1" min="5" max="5" width="3.0"/>
    <col customWidth="1" min="6" max="6" width="16.13"/>
    <col customWidth="1" min="7" max="7" width="3.0"/>
    <col customWidth="1" min="8" max="8" width="16.13"/>
    <col customWidth="1" min="9" max="9" width="3.0"/>
    <col customWidth="1" min="10" max="10" width="16.13"/>
    <col customWidth="1" min="11" max="11" width="3.0"/>
    <col customWidth="1" min="12" max="12" width="16.13"/>
    <col customWidth="1" min="13" max="13" width="3.0"/>
    <col customWidth="1" min="14" max="14" width="16.13"/>
    <col customWidth="1" min="15" max="15" width="3.0"/>
    <col customWidth="1" min="16" max="16" width="20.0"/>
    <col customWidth="1" min="17" max="30" width="16.13"/>
  </cols>
  <sheetData>
    <row r="1" ht="8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ht="23.25" customHeight="1">
      <c r="A2" s="9"/>
      <c r="B2" s="9"/>
      <c r="C2" s="14"/>
      <c r="D2" s="15" t="s">
        <v>17</v>
      </c>
      <c r="E2" s="14"/>
      <c r="F2" s="15" t="s">
        <v>18</v>
      </c>
      <c r="G2" s="14"/>
      <c r="H2" s="15" t="s">
        <v>19</v>
      </c>
      <c r="I2" s="14"/>
      <c r="J2" s="16" t="s">
        <v>20</v>
      </c>
      <c r="K2" s="14"/>
      <c r="L2" s="16" t="s">
        <v>21</v>
      </c>
      <c r="M2" s="14"/>
      <c r="N2" s="16" t="s">
        <v>22</v>
      </c>
      <c r="O2" s="14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8.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23.25" customHeight="1">
      <c r="A4" s="9"/>
      <c r="B4" s="14" t="s">
        <v>23</v>
      </c>
      <c r="C4" s="9"/>
      <c r="D4" s="15">
        <v>3003.0</v>
      </c>
      <c r="E4" s="14"/>
      <c r="F4" s="15">
        <v>7605.0</v>
      </c>
      <c r="G4" s="14"/>
      <c r="H4" s="15">
        <v>1796.0</v>
      </c>
      <c r="I4" s="14"/>
      <c r="J4" s="16">
        <v>5149.0</v>
      </c>
      <c r="K4" s="14"/>
      <c r="L4" s="16">
        <v>533.0</v>
      </c>
      <c r="M4" s="14"/>
      <c r="N4" s="16">
        <v>263.0</v>
      </c>
      <c r="O4" s="14"/>
      <c r="P4" s="14" t="s">
        <v>23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8.2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23.25" customHeight="1">
      <c r="A6" s="9"/>
      <c r="B6" s="17" t="s">
        <v>10</v>
      </c>
      <c r="C6" s="9"/>
      <c r="D6" s="18" t="str">
        <f t="shared" ref="D6:O6" si="1">INDIRECT("'" &amp; D4 &amp; "'!C4")</f>
        <v>#REF!</v>
      </c>
      <c r="E6" s="9" t="str">
        <f t="shared" si="1"/>
        <v/>
      </c>
      <c r="F6" s="18" t="str">
        <f t="shared" si="1"/>
        <v>#REF!</v>
      </c>
      <c r="G6" s="9" t="str">
        <f t="shared" si="1"/>
        <v/>
      </c>
      <c r="H6" s="18" t="str">
        <f t="shared" si="1"/>
        <v>#REF!</v>
      </c>
      <c r="I6" s="9" t="str">
        <f t="shared" si="1"/>
        <v/>
      </c>
      <c r="J6" s="19" t="str">
        <f t="shared" si="1"/>
        <v>#REF!</v>
      </c>
      <c r="K6" s="9" t="str">
        <f t="shared" si="1"/>
        <v/>
      </c>
      <c r="L6" s="19" t="str">
        <f t="shared" si="1"/>
        <v>#REF!</v>
      </c>
      <c r="M6" s="9" t="str">
        <f t="shared" si="1"/>
        <v/>
      </c>
      <c r="N6" s="19">
        <f t="shared" si="1"/>
        <v>79.71</v>
      </c>
      <c r="O6" s="9" t="str">
        <f t="shared" si="1"/>
        <v/>
      </c>
      <c r="P6" s="17" t="str">
        <f t="shared" ref="P6:P36" si="2">B6</f>
        <v>TOTAL EPA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8.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7" t="str">
        <f t="shared" si="2"/>
        <v/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ht="23.25" customHeight="1">
      <c r="A8" s="9"/>
      <c r="B8" s="17" t="s">
        <v>11</v>
      </c>
      <c r="C8" s="17"/>
      <c r="D8" s="20" t="str">
        <f t="shared" ref="D8:O8" si="3">INDIRECT("'" &amp; D4 &amp; "'!C6")</f>
        <v>#REF!</v>
      </c>
      <c r="E8" s="17" t="str">
        <f t="shared" si="3"/>
        <v/>
      </c>
      <c r="F8" s="20" t="str">
        <f t="shared" si="3"/>
        <v>#REF!</v>
      </c>
      <c r="G8" s="17" t="str">
        <f t="shared" si="3"/>
        <v/>
      </c>
      <c r="H8" s="20" t="str">
        <f t="shared" si="3"/>
        <v>#REF!</v>
      </c>
      <c r="I8" s="17" t="str">
        <f t="shared" si="3"/>
        <v/>
      </c>
      <c r="J8" s="21" t="str">
        <f t="shared" si="3"/>
        <v>#REF!</v>
      </c>
      <c r="K8" s="17" t="str">
        <f t="shared" si="3"/>
        <v/>
      </c>
      <c r="L8" s="21" t="str">
        <f t="shared" si="3"/>
        <v>#REF!</v>
      </c>
      <c r="M8" s="17" t="str">
        <f t="shared" si="3"/>
        <v/>
      </c>
      <c r="N8" s="21">
        <f t="shared" si="3"/>
        <v>17.33</v>
      </c>
      <c r="O8" s="17" t="str">
        <f t="shared" si="3"/>
        <v/>
      </c>
      <c r="P8" s="17" t="str">
        <f t="shared" si="2"/>
        <v>AUTO EPA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ht="8.2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7" t="str">
        <f t="shared" si="2"/>
        <v/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23.25" customHeight="1">
      <c r="A10" s="9"/>
      <c r="B10" s="17" t="s">
        <v>24</v>
      </c>
      <c r="C10" s="9"/>
      <c r="D10" s="20" t="str">
        <f t="shared" ref="D10:O10" si="4">INDIRECT("'" &amp; D4 &amp; "'!C8")</f>
        <v>#REF!</v>
      </c>
      <c r="E10" s="17" t="str">
        <f t="shared" si="4"/>
        <v/>
      </c>
      <c r="F10" s="20" t="str">
        <f t="shared" si="4"/>
        <v>#REF!</v>
      </c>
      <c r="G10" s="17" t="str">
        <f t="shared" si="4"/>
        <v/>
      </c>
      <c r="H10" s="20" t="str">
        <f t="shared" si="4"/>
        <v>#REF!</v>
      </c>
      <c r="I10" s="17" t="str">
        <f t="shared" si="4"/>
        <v/>
      </c>
      <c r="J10" s="21" t="str">
        <f t="shared" si="4"/>
        <v>#REF!</v>
      </c>
      <c r="K10" s="17" t="str">
        <f t="shared" si="4"/>
        <v/>
      </c>
      <c r="L10" s="21" t="str">
        <f t="shared" si="4"/>
        <v>#REF!</v>
      </c>
      <c r="M10" s="17" t="str">
        <f t="shared" si="4"/>
        <v/>
      </c>
      <c r="N10" s="21">
        <f t="shared" si="4"/>
        <v>41.46</v>
      </c>
      <c r="O10" s="17" t="str">
        <f t="shared" si="4"/>
        <v/>
      </c>
      <c r="P10" s="17" t="str">
        <f t="shared" si="2"/>
        <v>TELE-OP EPA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ht="8.2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7" t="str">
        <f t="shared" si="2"/>
        <v/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ht="23.25" customHeight="1">
      <c r="A12" s="9"/>
      <c r="B12" s="17" t="s">
        <v>25</v>
      </c>
      <c r="C12" s="17"/>
      <c r="D12" s="20" t="str">
        <f t="shared" ref="D12:O12" si="5">INDIRECT("'" &amp; D4 &amp; "'!C10")</f>
        <v>#REF!</v>
      </c>
      <c r="E12" s="17" t="str">
        <f t="shared" si="5"/>
        <v/>
      </c>
      <c r="F12" s="20" t="str">
        <f t="shared" si="5"/>
        <v>#REF!</v>
      </c>
      <c r="G12" s="17" t="str">
        <f t="shared" si="5"/>
        <v/>
      </c>
      <c r="H12" s="20" t="str">
        <f t="shared" si="5"/>
        <v>#REF!</v>
      </c>
      <c r="I12" s="17" t="str">
        <f t="shared" si="5"/>
        <v/>
      </c>
      <c r="J12" s="21" t="str">
        <f t="shared" si="5"/>
        <v>#REF!</v>
      </c>
      <c r="K12" s="17" t="str">
        <f t="shared" si="5"/>
        <v/>
      </c>
      <c r="L12" s="21" t="str">
        <f t="shared" si="5"/>
        <v>#REF!</v>
      </c>
      <c r="M12" s="17" t="str">
        <f t="shared" si="5"/>
        <v/>
      </c>
      <c r="N12" s="21">
        <f t="shared" si="5"/>
        <v>20.92</v>
      </c>
      <c r="O12" s="17" t="str">
        <f t="shared" si="5"/>
        <v/>
      </c>
      <c r="P12" s="17" t="str">
        <f t="shared" si="2"/>
        <v>ENDGAME EPA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ht="8.2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7" t="str">
        <f t="shared" si="2"/>
        <v/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23.25" customHeight="1">
      <c r="A14" s="9"/>
      <c r="B14" s="17" t="s">
        <v>26</v>
      </c>
      <c r="C14" s="9"/>
      <c r="D14" s="18" t="str">
        <f t="array" ref="D14">INDIRECT("'" &amp; D4 &amp; "'!J12")</f>
        <v>#REF!</v>
      </c>
      <c r="E14" s="9"/>
      <c r="F14" s="18" t="str">
        <f t="array" ref="F14">INDIRECT("'" &amp; F4 &amp; "'!J12")</f>
        <v>#REF!</v>
      </c>
      <c r="G14" s="9"/>
      <c r="H14" s="18" t="str">
        <f t="array" ref="H14">INDIRECT("'" &amp; H4 &amp; "'!J12")</f>
        <v>#REF!</v>
      </c>
      <c r="I14" s="9"/>
      <c r="J14" s="19" t="str">
        <f t="array" ref="J14">INDIRECT("'" &amp; J4 &amp; "'!J12")</f>
        <v>#REF!</v>
      </c>
      <c r="K14" s="9"/>
      <c r="L14" s="19" t="str">
        <f t="array" ref="L14">INDIRECT("'" &amp; L4 &amp; "'!J12")</f>
        <v>#REF!</v>
      </c>
      <c r="M14" s="9"/>
      <c r="N14" s="19" t="str">
        <f t="array" ref="N14">INDIRECT("'" &amp; N4 &amp; "'!J12")</f>
        <v/>
      </c>
      <c r="O14" s="9"/>
      <c r="P14" s="17" t="str">
        <f t="shared" si="2"/>
        <v>TRENCH?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8.2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7" t="str">
        <f t="shared" si="2"/>
        <v/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23.25" customHeight="1">
      <c r="A16" s="9"/>
      <c r="B16" s="17" t="s">
        <v>27</v>
      </c>
      <c r="C16" s="17"/>
      <c r="D16" s="20" t="str">
        <f t="shared" ref="D16:O16" si="6">INDIRECT("'" &amp; D4 &amp; "'!J5")</f>
        <v>#REF!</v>
      </c>
      <c r="E16" s="17" t="str">
        <f t="shared" si="6"/>
        <v/>
      </c>
      <c r="F16" s="20" t="str">
        <f t="shared" si="6"/>
        <v>#REF!</v>
      </c>
      <c r="G16" s="17" t="str">
        <f t="shared" si="6"/>
        <v/>
      </c>
      <c r="H16" s="20" t="str">
        <f t="shared" si="6"/>
        <v>#REF!</v>
      </c>
      <c r="I16" s="17" t="str">
        <f t="shared" si="6"/>
        <v/>
      </c>
      <c r="J16" s="21" t="str">
        <f t="shared" si="6"/>
        <v>#REF!</v>
      </c>
      <c r="K16" s="17" t="str">
        <f t="shared" si="6"/>
        <v/>
      </c>
      <c r="L16" s="21" t="str">
        <f t="shared" si="6"/>
        <v>#REF!</v>
      </c>
      <c r="M16" s="17" t="str">
        <f t="shared" si="6"/>
        <v/>
      </c>
      <c r="N16" s="21" t="str">
        <f t="shared" si="6"/>
        <v/>
      </c>
      <c r="O16" s="17" t="str">
        <f t="shared" si="6"/>
        <v/>
      </c>
      <c r="P16" s="17" t="str">
        <f t="shared" si="2"/>
        <v>DRIVE BASE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8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7" t="str">
        <f t="shared" si="2"/>
        <v/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23.25" customHeight="1">
      <c r="A18" s="9"/>
      <c r="B18" s="17" t="s">
        <v>28</v>
      </c>
      <c r="C18" s="9"/>
      <c r="D18" s="20" t="str">
        <f t="shared" ref="D18:O18" si="7">INDIRECT("'" &amp; D4 &amp; "'!M12")</f>
        <v>#REF!</v>
      </c>
      <c r="E18" s="17" t="str">
        <f t="shared" si="7"/>
        <v/>
      </c>
      <c r="F18" s="20" t="str">
        <f t="shared" si="7"/>
        <v>#REF!</v>
      </c>
      <c r="G18" s="17" t="str">
        <f t="shared" si="7"/>
        <v/>
      </c>
      <c r="H18" s="20" t="str">
        <f t="shared" si="7"/>
        <v>#REF!</v>
      </c>
      <c r="I18" s="17" t="str">
        <f t="shared" si="7"/>
        <v/>
      </c>
      <c r="J18" s="21" t="str">
        <f t="shared" si="7"/>
        <v>#REF!</v>
      </c>
      <c r="K18" s="17" t="str">
        <f t="shared" si="7"/>
        <v/>
      </c>
      <c r="L18" s="21" t="str">
        <f t="shared" si="7"/>
        <v>#REF!</v>
      </c>
      <c r="M18" s="17" t="str">
        <f t="shared" si="7"/>
        <v/>
      </c>
      <c r="N18" s="21" t="str">
        <f t="shared" si="7"/>
        <v/>
      </c>
      <c r="O18" s="17" t="str">
        <f t="shared" si="7"/>
        <v/>
      </c>
      <c r="P18" s="17" t="str">
        <f t="shared" si="2"/>
        <v>SHOOTER STYLE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8.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7" t="str">
        <f t="shared" si="2"/>
        <v/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ht="23.25" customHeight="1">
      <c r="A20" s="9"/>
      <c r="B20" s="17" t="s">
        <v>29</v>
      </c>
      <c r="C20" s="9"/>
      <c r="D20" s="18" t="str">
        <f t="shared" ref="D20:O20" si="8">INDIRECT("'" &amp; D4 &amp; "'!M13")</f>
        <v>#REF!</v>
      </c>
      <c r="E20" s="9" t="str">
        <f t="shared" si="8"/>
        <v/>
      </c>
      <c r="F20" s="18" t="str">
        <f t="shared" si="8"/>
        <v>#REF!</v>
      </c>
      <c r="G20" s="9" t="str">
        <f t="shared" si="8"/>
        <v/>
      </c>
      <c r="H20" s="18" t="str">
        <f t="shared" si="8"/>
        <v>#REF!</v>
      </c>
      <c r="I20" s="9" t="str">
        <f t="shared" si="8"/>
        <v/>
      </c>
      <c r="J20" s="19" t="str">
        <f t="shared" si="8"/>
        <v>#REF!</v>
      </c>
      <c r="K20" s="9" t="str">
        <f t="shared" si="8"/>
        <v/>
      </c>
      <c r="L20" s="19" t="str">
        <f t="shared" si="8"/>
        <v>#REF!</v>
      </c>
      <c r="M20" s="9" t="str">
        <f t="shared" si="8"/>
        <v/>
      </c>
      <c r="N20" s="19" t="str">
        <f t="shared" si="8"/>
        <v/>
      </c>
      <c r="O20" s="9" t="str">
        <f t="shared" si="8"/>
        <v/>
      </c>
      <c r="P20" s="17" t="str">
        <f t="shared" si="2"/>
        <v># OF LANES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8.2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7" t="str">
        <f t="shared" si="2"/>
        <v/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23.25" customHeight="1">
      <c r="A22" s="9"/>
      <c r="B22" s="14" t="s">
        <v>30</v>
      </c>
      <c r="C22" s="9"/>
      <c r="D22" s="18" t="str">
        <f t="shared" ref="D22:H22" si="9">INDIRECT("'" &amp; D4 &amp; "'!J17")</f>
        <v>#REF!</v>
      </c>
      <c r="E22" s="9" t="str">
        <f t="shared" si="9"/>
        <v/>
      </c>
      <c r="F22" s="18" t="str">
        <f t="shared" si="9"/>
        <v>#REF!</v>
      </c>
      <c r="G22" s="9" t="str">
        <f t="shared" si="9"/>
        <v/>
      </c>
      <c r="H22" s="18" t="str">
        <f t="shared" si="9"/>
        <v>#REF!</v>
      </c>
      <c r="I22" s="9"/>
      <c r="J22" s="19" t="str">
        <f t="shared" ref="J22:N22" si="10">INDIRECT("'" &amp; J4 &amp; "'!J17")</f>
        <v>#REF!</v>
      </c>
      <c r="K22" s="9" t="str">
        <f t="shared" si="10"/>
        <v/>
      </c>
      <c r="L22" s="19" t="str">
        <f t="shared" si="10"/>
        <v>#REF!</v>
      </c>
      <c r="M22" s="9" t="str">
        <f t="shared" si="10"/>
        <v/>
      </c>
      <c r="N22" s="19" t="str">
        <f t="shared" si="10"/>
        <v/>
      </c>
      <c r="O22" s="9"/>
      <c r="P22" s="17" t="str">
        <f t="shared" si="2"/>
        <v>HOPPER CAPACITY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8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7" t="str">
        <f t="shared" si="2"/>
        <v/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23.25" customHeight="1">
      <c r="A24" s="9"/>
      <c r="B24" s="17" t="s">
        <v>31</v>
      </c>
      <c r="C24" s="9"/>
      <c r="D24" s="18" t="str">
        <f t="shared" ref="D24:O24" si="11">INDIRECT("'" &amp; D4 &amp; "'!M21")</f>
        <v>#REF!</v>
      </c>
      <c r="E24" s="9" t="str">
        <f t="shared" si="11"/>
        <v/>
      </c>
      <c r="F24" s="18" t="str">
        <f t="shared" si="11"/>
        <v>#REF!</v>
      </c>
      <c r="G24" s="9" t="str">
        <f t="shared" si="11"/>
        <v/>
      </c>
      <c r="H24" s="18" t="str">
        <f t="shared" si="11"/>
        <v>#REF!</v>
      </c>
      <c r="I24" s="9" t="str">
        <f t="shared" si="11"/>
        <v/>
      </c>
      <c r="J24" s="19" t="str">
        <f t="shared" si="11"/>
        <v>#REF!</v>
      </c>
      <c r="K24" s="9" t="str">
        <f t="shared" si="11"/>
        <v/>
      </c>
      <c r="L24" s="19" t="str">
        <f t="shared" si="11"/>
        <v>#REF!</v>
      </c>
      <c r="M24" s="9" t="str">
        <f t="shared" si="11"/>
        <v/>
      </c>
      <c r="N24" s="19" t="str">
        <f t="shared" si="11"/>
        <v/>
      </c>
      <c r="O24" s="9" t="str">
        <f t="shared" si="11"/>
        <v/>
      </c>
      <c r="P24" s="17" t="str">
        <f t="shared" si="2"/>
        <v>SHOOT PRELOAD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8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7" t="str">
        <f t="shared" si="2"/>
        <v/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23.25" customHeight="1">
      <c r="A26" s="9"/>
      <c r="B26" s="17" t="s">
        <v>32</v>
      </c>
      <c r="C26" s="9"/>
      <c r="D26" s="18" t="str">
        <f t="shared" ref="D26:O26" si="12">INDIRECT("'" &amp; D4 &amp; "'!M22")</f>
        <v>#REF!</v>
      </c>
      <c r="E26" s="9" t="str">
        <f t="shared" si="12"/>
        <v/>
      </c>
      <c r="F26" s="18" t="str">
        <f t="shared" si="12"/>
        <v>#REF!</v>
      </c>
      <c r="G26" s="9" t="str">
        <f t="shared" si="12"/>
        <v/>
      </c>
      <c r="H26" s="18" t="str">
        <f t="shared" si="12"/>
        <v>#REF!</v>
      </c>
      <c r="I26" s="9" t="str">
        <f t="shared" si="12"/>
        <v/>
      </c>
      <c r="J26" s="19" t="str">
        <f t="shared" si="12"/>
        <v>#REF!</v>
      </c>
      <c r="K26" s="9" t="str">
        <f t="shared" si="12"/>
        <v/>
      </c>
      <c r="L26" s="19" t="str">
        <f t="shared" si="12"/>
        <v>#REF!</v>
      </c>
      <c r="M26" s="9" t="str">
        <f t="shared" si="12"/>
        <v/>
      </c>
      <c r="N26" s="19" t="str">
        <f t="shared" si="12"/>
        <v/>
      </c>
      <c r="O26" s="9" t="str">
        <f t="shared" si="12"/>
        <v/>
      </c>
      <c r="P26" s="17" t="str">
        <f t="shared" si="2"/>
        <v>CENTER AUTO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8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7" t="str">
        <f t="shared" si="2"/>
        <v/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23.25" customHeight="1">
      <c r="A28" s="9"/>
      <c r="B28" s="17" t="s">
        <v>33</v>
      </c>
      <c r="C28" s="9"/>
      <c r="D28" s="18" t="str">
        <f t="shared" ref="D28:O28" si="13">INDIRECT("'" &amp; D4 &amp; "'!M23")</f>
        <v>#REF!</v>
      </c>
      <c r="E28" s="9" t="str">
        <f t="shared" si="13"/>
        <v/>
      </c>
      <c r="F28" s="18" t="str">
        <f t="shared" si="13"/>
        <v>#REF!</v>
      </c>
      <c r="G28" s="9" t="str">
        <f t="shared" si="13"/>
        <v/>
      </c>
      <c r="H28" s="18" t="str">
        <f t="shared" si="13"/>
        <v>#REF!</v>
      </c>
      <c r="I28" s="9" t="str">
        <f t="shared" si="13"/>
        <v/>
      </c>
      <c r="J28" s="19" t="str">
        <f t="shared" si="13"/>
        <v>#REF!</v>
      </c>
      <c r="K28" s="9" t="str">
        <f t="shared" si="13"/>
        <v/>
      </c>
      <c r="L28" s="19" t="str">
        <f t="shared" si="13"/>
        <v>#REF!</v>
      </c>
      <c r="M28" s="9" t="str">
        <f t="shared" si="13"/>
        <v/>
      </c>
      <c r="N28" s="19" t="str">
        <f t="shared" si="13"/>
        <v/>
      </c>
      <c r="O28" s="9" t="str">
        <f t="shared" si="13"/>
        <v/>
      </c>
      <c r="P28" s="17" t="str">
        <f t="shared" si="2"/>
        <v># OF SWEEPS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8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7" t="str">
        <f t="shared" si="2"/>
        <v/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23.25" customHeight="1">
      <c r="A30" s="9"/>
      <c r="B30" s="17" t="s">
        <v>34</v>
      </c>
      <c r="C30" s="9"/>
      <c r="D30" s="18" t="str">
        <f t="shared" ref="D30:O30" si="14">INDIRECT("'" &amp; D4 &amp; "'!M24")</f>
        <v>#REF!</v>
      </c>
      <c r="E30" s="9" t="str">
        <f t="shared" si="14"/>
        <v/>
      </c>
      <c r="F30" s="18" t="str">
        <f t="shared" si="14"/>
        <v>#REF!</v>
      </c>
      <c r="G30" s="9" t="str">
        <f t="shared" si="14"/>
        <v/>
      </c>
      <c r="H30" s="18" t="str">
        <f t="shared" si="14"/>
        <v>#REF!</v>
      </c>
      <c r="I30" s="9" t="str">
        <f t="shared" si="14"/>
        <v/>
      </c>
      <c r="J30" s="19" t="str">
        <f t="shared" si="14"/>
        <v>#REF!</v>
      </c>
      <c r="K30" s="9" t="str">
        <f t="shared" si="14"/>
        <v/>
      </c>
      <c r="L30" s="19" t="str">
        <f t="shared" si="14"/>
        <v>#REF!</v>
      </c>
      <c r="M30" s="9" t="str">
        <f t="shared" si="14"/>
        <v/>
      </c>
      <c r="N30" s="19" t="str">
        <f t="shared" si="14"/>
        <v/>
      </c>
      <c r="O30" s="9" t="str">
        <f t="shared" si="14"/>
        <v/>
      </c>
      <c r="P30" s="17" t="str">
        <f t="shared" si="2"/>
        <v>DEPOT AUTO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8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7" t="str">
        <f t="shared" si="2"/>
        <v/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23.25" customHeight="1">
      <c r="A32" s="9"/>
      <c r="B32" s="17" t="s">
        <v>35</v>
      </c>
      <c r="C32" s="9"/>
      <c r="D32" s="18" t="str">
        <f t="shared" ref="D32:O32" si="15">INDIRECT("'" &amp; D4 &amp; "'!M25")</f>
        <v>#REF!</v>
      </c>
      <c r="E32" s="9" t="str">
        <f t="shared" si="15"/>
        <v/>
      </c>
      <c r="F32" s="18" t="str">
        <f t="shared" si="15"/>
        <v>#REF!</v>
      </c>
      <c r="G32" s="9" t="str">
        <f t="shared" si="15"/>
        <v/>
      </c>
      <c r="H32" s="18" t="str">
        <f t="shared" si="15"/>
        <v>#REF!</v>
      </c>
      <c r="I32" s="9" t="str">
        <f t="shared" si="15"/>
        <v/>
      </c>
      <c r="J32" s="19" t="str">
        <f t="shared" si="15"/>
        <v>#REF!</v>
      </c>
      <c r="K32" s="9" t="str">
        <f t="shared" si="15"/>
        <v/>
      </c>
      <c r="L32" s="19" t="str">
        <f t="shared" si="15"/>
        <v>#REF!</v>
      </c>
      <c r="M32" s="9" t="str">
        <f t="shared" si="15"/>
        <v/>
      </c>
      <c r="N32" s="19" t="str">
        <f t="shared" si="15"/>
        <v/>
      </c>
      <c r="O32" s="9" t="str">
        <f t="shared" si="15"/>
        <v/>
      </c>
      <c r="P32" s="17" t="str">
        <f t="shared" si="2"/>
        <v>OUTPOST AUTO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0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7" t="str">
        <f t="shared" si="2"/>
        <v/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23.25" customHeight="1">
      <c r="A34" s="9"/>
      <c r="B34" s="17" t="s">
        <v>36</v>
      </c>
      <c r="C34" s="9"/>
      <c r="D34" s="18" t="str">
        <f t="shared" ref="D34:O34" si="16">INDIRECT("'" &amp; D4 &amp; "'!G5")</f>
        <v>#REF!</v>
      </c>
      <c r="E34" s="9" t="str">
        <f t="shared" si="16"/>
        <v/>
      </c>
      <c r="F34" s="18" t="str">
        <f t="shared" si="16"/>
        <v>#REF!</v>
      </c>
      <c r="G34" s="9" t="str">
        <f t="shared" si="16"/>
        <v/>
      </c>
      <c r="H34" s="18" t="str">
        <f t="shared" si="16"/>
        <v>#REF!</v>
      </c>
      <c r="I34" s="9" t="str">
        <f t="shared" si="16"/>
        <v/>
      </c>
      <c r="J34" s="19" t="str">
        <f t="shared" si="16"/>
        <v>#REF!</v>
      </c>
      <c r="K34" s="9" t="str">
        <f t="shared" si="16"/>
        <v/>
      </c>
      <c r="L34" s="19" t="str">
        <f t="shared" si="16"/>
        <v>#REF!</v>
      </c>
      <c r="M34" s="9" t="str">
        <f t="shared" si="16"/>
        <v/>
      </c>
      <c r="N34" s="19" t="str">
        <f t="shared" si="16"/>
        <v>SWERVE</v>
      </c>
      <c r="O34" s="9" t="str">
        <f t="shared" si="16"/>
        <v/>
      </c>
      <c r="P34" s="17" t="str">
        <f t="shared" si="2"/>
        <v>ROBOT WEIGHT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9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tr">
        <f t="shared" si="2"/>
        <v/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23.25" customHeight="1">
      <c r="A36" s="9"/>
      <c r="B36" s="9" t="s">
        <v>23</v>
      </c>
      <c r="C36" s="9"/>
      <c r="D36" s="18">
        <f t="shared" ref="D36:N36" si="17">D4</f>
        <v>3003</v>
      </c>
      <c r="E36" s="9" t="str">
        <f t="shared" si="17"/>
        <v/>
      </c>
      <c r="F36" s="18">
        <f t="shared" si="17"/>
        <v>7605</v>
      </c>
      <c r="G36" s="9" t="str">
        <f t="shared" si="17"/>
        <v/>
      </c>
      <c r="H36" s="18">
        <f t="shared" si="17"/>
        <v>1796</v>
      </c>
      <c r="I36" s="9" t="str">
        <f t="shared" si="17"/>
        <v/>
      </c>
      <c r="J36" s="19">
        <f t="shared" si="17"/>
        <v>5149</v>
      </c>
      <c r="K36" s="9" t="str">
        <f t="shared" si="17"/>
        <v/>
      </c>
      <c r="L36" s="19">
        <f t="shared" si="17"/>
        <v>533</v>
      </c>
      <c r="M36" s="9" t="str">
        <f t="shared" si="17"/>
        <v/>
      </c>
      <c r="N36" s="19">
        <f t="shared" si="17"/>
        <v>263</v>
      </c>
      <c r="O36" s="9"/>
      <c r="P36" s="9" t="str">
        <f t="shared" si="2"/>
        <v>TEAM NUMBER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23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23.25" customHeight="1">
      <c r="A38" s="9"/>
      <c r="B38" s="9"/>
      <c r="C38" s="9"/>
      <c r="D38" s="9"/>
      <c r="E38" s="18" t="s">
        <v>37</v>
      </c>
      <c r="H38" s="22" t="str">
        <f>SUM(D6:H6)</f>
        <v>#REF!</v>
      </c>
      <c r="I38" s="9"/>
      <c r="J38" s="19" t="str">
        <f>SUM(J6:N6)</f>
        <v>#REF!</v>
      </c>
      <c r="K38" s="19" t="s">
        <v>37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23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23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23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23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23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23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23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23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23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23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23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23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23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23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23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23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23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23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23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23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23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23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23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23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23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23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23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23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23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23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23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23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23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23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23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23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23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23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23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23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23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23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23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23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23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23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23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23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23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23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23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23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23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23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23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23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23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23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23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23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23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23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23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23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23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23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23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23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23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23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23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23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23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23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23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23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23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23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23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23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23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23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23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23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23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23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23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23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23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23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23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23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23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23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23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23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23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23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23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23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23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23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23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23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23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23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23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23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23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23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ht="23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ht="23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ht="23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ht="23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ht="23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ht="23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23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23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23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23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23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23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23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23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23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23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23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23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23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23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23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23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23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23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23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23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23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23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23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23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23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23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ht="23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23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ht="23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ht="23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ht="23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ht="23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ht="23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ht="23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23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ht="23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ht="23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ht="23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ht="23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ht="23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ht="23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ht="23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ht="23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ht="23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ht="23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ht="23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ht="23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ht="23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ht="23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23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ht="23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ht="23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ht="23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ht="23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ht="23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ht="23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ht="23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23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23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23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23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23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23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23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23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23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23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23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23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23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23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23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23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23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23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23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23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23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23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23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23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23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23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23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ht="23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ht="23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ht="23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ht="23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ht="23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23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ht="23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ht="23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ht="23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23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ht="23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ht="23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ht="23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ht="23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ht="23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ht="23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ht="23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ht="23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ht="23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ht="23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23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ht="23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ht="23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ht="23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ht="23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ht="23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ht="23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ht="23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ht="23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ht="23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ht="23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ht="23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ht="23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ht="23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ht="23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ht="23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ht="23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ht="23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ht="23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ht="23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ht="23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ht="23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ht="23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ht="23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ht="23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ht="23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ht="23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ht="23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ht="23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ht="23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ht="23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ht="23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ht="23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ht="23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23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23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ht="23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ht="23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ht="23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ht="23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ht="23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ht="23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ht="23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ht="23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ht="23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ht="23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ht="23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ht="23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ht="23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ht="23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ht="23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ht="23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ht="23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ht="23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ht="23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ht="23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ht="23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ht="23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ht="23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ht="23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ht="23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ht="23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ht="23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ht="23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ht="23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ht="23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ht="23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ht="23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ht="23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ht="23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ht="23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ht="23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ht="23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ht="23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ht="23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ht="23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ht="23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ht="23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ht="23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ht="23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ht="23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ht="23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ht="23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ht="23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ht="23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ht="23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ht="23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23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23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23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23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ht="23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ht="23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ht="23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ht="23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23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23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23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23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23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ht="23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ht="23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ht="23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ht="23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ht="23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ht="23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ht="23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ht="23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ht="23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ht="23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ht="23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ht="23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ht="23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ht="23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23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23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ht="23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ht="23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ht="23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ht="23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23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23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ht="23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ht="23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ht="23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ht="23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ht="23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ht="23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ht="23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ht="23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ht="23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23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23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ht="23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ht="23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ht="23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ht="23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ht="23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ht="23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ht="23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ht="23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23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23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ht="23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ht="23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ht="23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ht="23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ht="23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ht="23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ht="23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ht="23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ht="23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ht="23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ht="23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ht="23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ht="23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ht="23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ht="23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ht="23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ht="23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ht="23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ht="23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ht="23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ht="23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ht="23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ht="23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ht="23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ht="23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ht="23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ht="23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ht="23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ht="23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ht="23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ht="23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ht="23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ht="23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ht="23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ht="23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ht="23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ht="23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ht="23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ht="23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ht="23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ht="23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ht="23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ht="23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ht="23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ht="23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ht="23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ht="23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ht="23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ht="23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ht="23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ht="23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ht="23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ht="23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ht="23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ht="23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ht="23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ht="23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ht="23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ht="23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ht="23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ht="23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ht="23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ht="23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ht="23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ht="23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ht="23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ht="23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ht="23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ht="23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ht="23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ht="23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ht="23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ht="23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ht="23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ht="23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ht="23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ht="23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ht="23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ht="23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ht="23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ht="23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ht="23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ht="23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ht="23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ht="23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</row>
  </sheetData>
  <mergeCells count="2">
    <mergeCell ref="E38:G38"/>
    <mergeCell ref="K38:M3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8.0"/>
    <col customWidth="1" min="3" max="3" width="3.0"/>
    <col customWidth="1" min="4" max="4" width="16.13"/>
    <col customWidth="1" min="5" max="5" width="3.0"/>
    <col customWidth="1" min="6" max="6" width="16.13"/>
    <col customWidth="1" min="7" max="7" width="3.0"/>
    <col customWidth="1" min="8" max="8" width="16.13"/>
    <col customWidth="1" min="9" max="9" width="3.0"/>
    <col customWidth="1" min="10" max="10" width="16.13"/>
    <col customWidth="1" min="11" max="11" width="3.0"/>
    <col customWidth="1" min="12" max="12" width="16.13"/>
    <col customWidth="1" min="13" max="13" width="3.0"/>
    <col customWidth="1" min="14" max="14" width="16.13"/>
    <col customWidth="1" min="15" max="15" width="3.0"/>
    <col customWidth="1" min="16" max="16" width="20.0"/>
    <col customWidth="1" min="17" max="30" width="16.13"/>
  </cols>
  <sheetData>
    <row r="1" ht="8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ht="23.25" customHeight="1">
      <c r="A2" s="9"/>
      <c r="B2" s="9"/>
      <c r="C2" s="14"/>
      <c r="D2" s="15" t="s">
        <v>17</v>
      </c>
      <c r="E2" s="14"/>
      <c r="F2" s="15" t="s">
        <v>18</v>
      </c>
      <c r="G2" s="14"/>
      <c r="H2" s="15" t="s">
        <v>19</v>
      </c>
      <c r="I2" s="14"/>
      <c r="J2" s="16" t="s">
        <v>20</v>
      </c>
      <c r="K2" s="14"/>
      <c r="L2" s="16" t="s">
        <v>21</v>
      </c>
      <c r="M2" s="14"/>
      <c r="N2" s="16" t="s">
        <v>22</v>
      </c>
      <c r="O2" s="14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8.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23.25" customHeight="1">
      <c r="A4" s="9"/>
      <c r="B4" s="14" t="s">
        <v>23</v>
      </c>
      <c r="C4" s="9"/>
      <c r="D4" s="15">
        <v>263.0</v>
      </c>
      <c r="E4" s="14"/>
      <c r="F4" s="15">
        <v>10413.0</v>
      </c>
      <c r="G4" s="14"/>
      <c r="H4" s="15">
        <v>1493.0</v>
      </c>
      <c r="I4" s="14"/>
      <c r="J4" s="16">
        <v>578.0</v>
      </c>
      <c r="K4" s="14"/>
      <c r="L4" s="16">
        <v>9194.0</v>
      </c>
      <c r="M4" s="14"/>
      <c r="N4" s="16">
        <v>4930.0</v>
      </c>
      <c r="O4" s="14"/>
      <c r="P4" s="14" t="s">
        <v>23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8.2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23.25" customHeight="1">
      <c r="A6" s="9"/>
      <c r="B6" s="17" t="s">
        <v>10</v>
      </c>
      <c r="C6" s="9"/>
      <c r="D6" s="18">
        <f t="shared" ref="D6:O6" si="1">INDIRECT("'" &amp; D4 &amp; "'!C4")</f>
        <v>79.71</v>
      </c>
      <c r="E6" s="9" t="str">
        <f t="shared" si="1"/>
        <v/>
      </c>
      <c r="F6" s="18" t="str">
        <f t="shared" si="1"/>
        <v>#REF!</v>
      </c>
      <c r="G6" s="9" t="str">
        <f t="shared" si="1"/>
        <v/>
      </c>
      <c r="H6" s="18" t="str">
        <f t="shared" si="1"/>
        <v>#REF!</v>
      </c>
      <c r="I6" s="9" t="str">
        <f t="shared" si="1"/>
        <v/>
      </c>
      <c r="J6" s="19" t="str">
        <f t="shared" si="1"/>
        <v>#REF!</v>
      </c>
      <c r="K6" s="9" t="str">
        <f t="shared" si="1"/>
        <v/>
      </c>
      <c r="L6" s="19" t="str">
        <f t="shared" si="1"/>
        <v>#REF!</v>
      </c>
      <c r="M6" s="9" t="str">
        <f t="shared" si="1"/>
        <v/>
      </c>
      <c r="N6" s="19" t="str">
        <f t="shared" si="1"/>
        <v>#REF!</v>
      </c>
      <c r="O6" s="9" t="str">
        <f t="shared" si="1"/>
        <v/>
      </c>
      <c r="P6" s="17" t="str">
        <f t="shared" ref="P6:P36" si="2">B6</f>
        <v>TOTAL EPA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8.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7" t="str">
        <f t="shared" si="2"/>
        <v/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ht="23.25" customHeight="1">
      <c r="A8" s="9"/>
      <c r="B8" s="17" t="s">
        <v>11</v>
      </c>
      <c r="C8" s="17"/>
      <c r="D8" s="20">
        <f t="shared" ref="D8:O8" si="3">INDIRECT("'" &amp; D4 &amp; "'!C6")</f>
        <v>17.33</v>
      </c>
      <c r="E8" s="17" t="str">
        <f t="shared" si="3"/>
        <v/>
      </c>
      <c r="F8" s="20" t="str">
        <f t="shared" si="3"/>
        <v>#REF!</v>
      </c>
      <c r="G8" s="17" t="str">
        <f t="shared" si="3"/>
        <v/>
      </c>
      <c r="H8" s="20" t="str">
        <f t="shared" si="3"/>
        <v>#REF!</v>
      </c>
      <c r="I8" s="17" t="str">
        <f t="shared" si="3"/>
        <v/>
      </c>
      <c r="J8" s="21" t="str">
        <f t="shared" si="3"/>
        <v>#REF!</v>
      </c>
      <c r="K8" s="17" t="str">
        <f t="shared" si="3"/>
        <v/>
      </c>
      <c r="L8" s="21" t="str">
        <f t="shared" si="3"/>
        <v>#REF!</v>
      </c>
      <c r="M8" s="17" t="str">
        <f t="shared" si="3"/>
        <v/>
      </c>
      <c r="N8" s="21" t="str">
        <f t="shared" si="3"/>
        <v>#REF!</v>
      </c>
      <c r="O8" s="17" t="str">
        <f t="shared" si="3"/>
        <v/>
      </c>
      <c r="P8" s="17" t="str">
        <f t="shared" si="2"/>
        <v>AUTO EPA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ht="8.2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7" t="str">
        <f t="shared" si="2"/>
        <v/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23.25" customHeight="1">
      <c r="A10" s="9"/>
      <c r="B10" s="17" t="s">
        <v>24</v>
      </c>
      <c r="C10" s="9"/>
      <c r="D10" s="20">
        <f t="shared" ref="D10:O10" si="4">INDIRECT("'" &amp; D4 &amp; "'!C8")</f>
        <v>41.46</v>
      </c>
      <c r="E10" s="17" t="str">
        <f t="shared" si="4"/>
        <v/>
      </c>
      <c r="F10" s="20" t="str">
        <f t="shared" si="4"/>
        <v>#REF!</v>
      </c>
      <c r="G10" s="17" t="str">
        <f t="shared" si="4"/>
        <v/>
      </c>
      <c r="H10" s="20" t="str">
        <f t="shared" si="4"/>
        <v>#REF!</v>
      </c>
      <c r="I10" s="17" t="str">
        <f t="shared" si="4"/>
        <v/>
      </c>
      <c r="J10" s="21" t="str">
        <f t="shared" si="4"/>
        <v>#REF!</v>
      </c>
      <c r="K10" s="17" t="str">
        <f t="shared" si="4"/>
        <v/>
      </c>
      <c r="L10" s="21" t="str">
        <f t="shared" si="4"/>
        <v>#REF!</v>
      </c>
      <c r="M10" s="17" t="str">
        <f t="shared" si="4"/>
        <v/>
      </c>
      <c r="N10" s="21" t="str">
        <f t="shared" si="4"/>
        <v>#REF!</v>
      </c>
      <c r="O10" s="17" t="str">
        <f t="shared" si="4"/>
        <v/>
      </c>
      <c r="P10" s="17" t="str">
        <f t="shared" si="2"/>
        <v>TELE-OP EPA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ht="8.2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7" t="str">
        <f t="shared" si="2"/>
        <v/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ht="23.25" customHeight="1">
      <c r="A12" s="9"/>
      <c r="B12" s="17" t="s">
        <v>25</v>
      </c>
      <c r="C12" s="17"/>
      <c r="D12" s="20">
        <f t="shared" ref="D12:O12" si="5">INDIRECT("'" &amp; D4 &amp; "'!C10")</f>
        <v>20.92</v>
      </c>
      <c r="E12" s="17" t="str">
        <f t="shared" si="5"/>
        <v/>
      </c>
      <c r="F12" s="20" t="str">
        <f t="shared" si="5"/>
        <v>#REF!</v>
      </c>
      <c r="G12" s="17" t="str">
        <f t="shared" si="5"/>
        <v/>
      </c>
      <c r="H12" s="20" t="str">
        <f t="shared" si="5"/>
        <v>#REF!</v>
      </c>
      <c r="I12" s="17" t="str">
        <f t="shared" si="5"/>
        <v/>
      </c>
      <c r="J12" s="21" t="str">
        <f t="shared" si="5"/>
        <v>#REF!</v>
      </c>
      <c r="K12" s="17" t="str">
        <f t="shared" si="5"/>
        <v/>
      </c>
      <c r="L12" s="21" t="str">
        <f t="shared" si="5"/>
        <v>#REF!</v>
      </c>
      <c r="M12" s="17" t="str">
        <f t="shared" si="5"/>
        <v/>
      </c>
      <c r="N12" s="21" t="str">
        <f t="shared" si="5"/>
        <v>#REF!</v>
      </c>
      <c r="O12" s="17" t="str">
        <f t="shared" si="5"/>
        <v/>
      </c>
      <c r="P12" s="17" t="str">
        <f t="shared" si="2"/>
        <v>ENDGAME EPA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ht="8.2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7" t="str">
        <f t="shared" si="2"/>
        <v/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23.25" customHeight="1">
      <c r="A14" s="9"/>
      <c r="B14" s="17" t="s">
        <v>26</v>
      </c>
      <c r="C14" s="9"/>
      <c r="D14" s="18" t="str">
        <f t="array" ref="D14">INDIRECT("'" &amp; D4 &amp; "'!J12")</f>
        <v/>
      </c>
      <c r="E14" s="9"/>
      <c r="F14" s="18" t="str">
        <f t="array" ref="F14">INDIRECT("'" &amp; F4 &amp; "'!J12")</f>
        <v>#REF!</v>
      </c>
      <c r="G14" s="9"/>
      <c r="H14" s="18" t="str">
        <f t="array" ref="H14">INDIRECT("'" &amp; H4 &amp; "'!J12")</f>
        <v>#REF!</v>
      </c>
      <c r="I14" s="9"/>
      <c r="J14" s="19" t="str">
        <f t="array" ref="J14">INDIRECT("'" &amp; J4 &amp; "'!J12")</f>
        <v>#REF!</v>
      </c>
      <c r="K14" s="9"/>
      <c r="L14" s="19" t="str">
        <f t="array" ref="L14">INDIRECT("'" &amp; L4 &amp; "'!J12")</f>
        <v>#REF!</v>
      </c>
      <c r="M14" s="9"/>
      <c r="N14" s="19" t="str">
        <f t="array" ref="N14">INDIRECT("'" &amp; N4 &amp; "'!J12")</f>
        <v>#REF!</v>
      </c>
      <c r="O14" s="9"/>
      <c r="P14" s="17" t="str">
        <f t="shared" si="2"/>
        <v>TRENCH?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8.2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7" t="str">
        <f t="shared" si="2"/>
        <v/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23.25" customHeight="1">
      <c r="A16" s="9"/>
      <c r="B16" s="17" t="s">
        <v>27</v>
      </c>
      <c r="C16" s="17"/>
      <c r="D16" s="20" t="str">
        <f t="shared" ref="D16:O16" si="6">INDIRECT("'" &amp; D4 &amp; "'!J5")</f>
        <v/>
      </c>
      <c r="E16" s="17" t="str">
        <f t="shared" si="6"/>
        <v/>
      </c>
      <c r="F16" s="20" t="str">
        <f t="shared" si="6"/>
        <v>#REF!</v>
      </c>
      <c r="G16" s="17" t="str">
        <f t="shared" si="6"/>
        <v/>
      </c>
      <c r="H16" s="20" t="str">
        <f t="shared" si="6"/>
        <v>#REF!</v>
      </c>
      <c r="I16" s="17" t="str">
        <f t="shared" si="6"/>
        <v/>
      </c>
      <c r="J16" s="21" t="str">
        <f t="shared" si="6"/>
        <v>#REF!</v>
      </c>
      <c r="K16" s="17" t="str">
        <f t="shared" si="6"/>
        <v/>
      </c>
      <c r="L16" s="21" t="str">
        <f t="shared" si="6"/>
        <v>#REF!</v>
      </c>
      <c r="M16" s="17" t="str">
        <f t="shared" si="6"/>
        <v/>
      </c>
      <c r="N16" s="21" t="str">
        <f t="shared" si="6"/>
        <v>#REF!</v>
      </c>
      <c r="O16" s="17" t="str">
        <f t="shared" si="6"/>
        <v/>
      </c>
      <c r="P16" s="17" t="str">
        <f t="shared" si="2"/>
        <v>DRIVE BASE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8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7" t="str">
        <f t="shared" si="2"/>
        <v/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23.25" customHeight="1">
      <c r="A18" s="9"/>
      <c r="B18" s="17" t="s">
        <v>28</v>
      </c>
      <c r="C18" s="9"/>
      <c r="D18" s="20" t="str">
        <f t="shared" ref="D18:O18" si="7">INDIRECT("'" &amp; D4 &amp; "'!M12")</f>
        <v/>
      </c>
      <c r="E18" s="17" t="str">
        <f t="shared" si="7"/>
        <v/>
      </c>
      <c r="F18" s="20" t="str">
        <f t="shared" si="7"/>
        <v>#REF!</v>
      </c>
      <c r="G18" s="17" t="str">
        <f t="shared" si="7"/>
        <v/>
      </c>
      <c r="H18" s="20" t="str">
        <f t="shared" si="7"/>
        <v>#REF!</v>
      </c>
      <c r="I18" s="17" t="str">
        <f t="shared" si="7"/>
        <v/>
      </c>
      <c r="J18" s="21" t="str">
        <f t="shared" si="7"/>
        <v>#REF!</v>
      </c>
      <c r="K18" s="17" t="str">
        <f t="shared" si="7"/>
        <v/>
      </c>
      <c r="L18" s="21" t="str">
        <f t="shared" si="7"/>
        <v>#REF!</v>
      </c>
      <c r="M18" s="17" t="str">
        <f t="shared" si="7"/>
        <v/>
      </c>
      <c r="N18" s="21" t="str">
        <f t="shared" si="7"/>
        <v>#REF!</v>
      </c>
      <c r="O18" s="17" t="str">
        <f t="shared" si="7"/>
        <v/>
      </c>
      <c r="P18" s="17" t="str">
        <f t="shared" si="2"/>
        <v>SHOOTER STYLE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8.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7" t="str">
        <f t="shared" si="2"/>
        <v/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ht="23.25" customHeight="1">
      <c r="A20" s="9"/>
      <c r="B20" s="17" t="s">
        <v>29</v>
      </c>
      <c r="C20" s="9"/>
      <c r="D20" s="18" t="str">
        <f t="shared" ref="D20:O20" si="8">INDIRECT("'" &amp; D4 &amp; "'!M13")</f>
        <v/>
      </c>
      <c r="E20" s="9" t="str">
        <f t="shared" si="8"/>
        <v/>
      </c>
      <c r="F20" s="18" t="str">
        <f t="shared" si="8"/>
        <v>#REF!</v>
      </c>
      <c r="G20" s="9" t="str">
        <f t="shared" si="8"/>
        <v/>
      </c>
      <c r="H20" s="18" t="str">
        <f t="shared" si="8"/>
        <v>#REF!</v>
      </c>
      <c r="I20" s="9" t="str">
        <f t="shared" si="8"/>
        <v/>
      </c>
      <c r="J20" s="19" t="str">
        <f t="shared" si="8"/>
        <v>#REF!</v>
      </c>
      <c r="K20" s="9" t="str">
        <f t="shared" si="8"/>
        <v/>
      </c>
      <c r="L20" s="19" t="str">
        <f t="shared" si="8"/>
        <v>#REF!</v>
      </c>
      <c r="M20" s="9" t="str">
        <f t="shared" si="8"/>
        <v/>
      </c>
      <c r="N20" s="19" t="str">
        <f t="shared" si="8"/>
        <v>#REF!</v>
      </c>
      <c r="O20" s="9" t="str">
        <f t="shared" si="8"/>
        <v/>
      </c>
      <c r="P20" s="17" t="str">
        <f t="shared" si="2"/>
        <v># OF LANES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8.2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7" t="str">
        <f t="shared" si="2"/>
        <v/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23.25" customHeight="1">
      <c r="A22" s="9"/>
      <c r="B22" s="14" t="s">
        <v>30</v>
      </c>
      <c r="C22" s="9"/>
      <c r="D22" s="18" t="str">
        <f t="shared" ref="D22:H22" si="9">INDIRECT("'" &amp; D4 &amp; "'!J17")</f>
        <v/>
      </c>
      <c r="E22" s="9" t="str">
        <f t="shared" si="9"/>
        <v/>
      </c>
      <c r="F22" s="18" t="str">
        <f t="shared" si="9"/>
        <v>#REF!</v>
      </c>
      <c r="G22" s="9" t="str">
        <f t="shared" si="9"/>
        <v/>
      </c>
      <c r="H22" s="18" t="str">
        <f t="shared" si="9"/>
        <v>#REF!</v>
      </c>
      <c r="I22" s="9"/>
      <c r="J22" s="19" t="str">
        <f t="shared" ref="J22:N22" si="10">INDIRECT("'" &amp; J4 &amp; "'!J17")</f>
        <v>#REF!</v>
      </c>
      <c r="K22" s="9" t="str">
        <f t="shared" si="10"/>
        <v/>
      </c>
      <c r="L22" s="19" t="str">
        <f t="shared" si="10"/>
        <v>#REF!</v>
      </c>
      <c r="M22" s="9" t="str">
        <f t="shared" si="10"/>
        <v/>
      </c>
      <c r="N22" s="19" t="str">
        <f t="shared" si="10"/>
        <v>#REF!</v>
      </c>
      <c r="O22" s="9"/>
      <c r="P22" s="17" t="str">
        <f t="shared" si="2"/>
        <v>HOPPER CAPACITY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8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7" t="str">
        <f t="shared" si="2"/>
        <v/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23.25" customHeight="1">
      <c r="A24" s="9"/>
      <c r="B24" s="17" t="s">
        <v>31</v>
      </c>
      <c r="C24" s="9"/>
      <c r="D24" s="18" t="str">
        <f t="shared" ref="D24:O24" si="11">INDIRECT("'" &amp; D4 &amp; "'!M21")</f>
        <v/>
      </c>
      <c r="E24" s="9" t="str">
        <f t="shared" si="11"/>
        <v/>
      </c>
      <c r="F24" s="18" t="str">
        <f t="shared" si="11"/>
        <v>#REF!</v>
      </c>
      <c r="G24" s="9" t="str">
        <f t="shared" si="11"/>
        <v/>
      </c>
      <c r="H24" s="18" t="str">
        <f t="shared" si="11"/>
        <v>#REF!</v>
      </c>
      <c r="I24" s="9" t="str">
        <f t="shared" si="11"/>
        <v/>
      </c>
      <c r="J24" s="19" t="str">
        <f t="shared" si="11"/>
        <v>#REF!</v>
      </c>
      <c r="K24" s="9" t="str">
        <f t="shared" si="11"/>
        <v/>
      </c>
      <c r="L24" s="19" t="str">
        <f t="shared" si="11"/>
        <v>#REF!</v>
      </c>
      <c r="M24" s="9" t="str">
        <f t="shared" si="11"/>
        <v/>
      </c>
      <c r="N24" s="19" t="str">
        <f t="shared" si="11"/>
        <v>#REF!</v>
      </c>
      <c r="O24" s="9" t="str">
        <f t="shared" si="11"/>
        <v/>
      </c>
      <c r="P24" s="17" t="str">
        <f t="shared" si="2"/>
        <v>SHOOT PRELOAD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8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7" t="str">
        <f t="shared" si="2"/>
        <v/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23.25" customHeight="1">
      <c r="A26" s="9"/>
      <c r="B26" s="17" t="s">
        <v>32</v>
      </c>
      <c r="C26" s="9"/>
      <c r="D26" s="18" t="str">
        <f t="shared" ref="D26:O26" si="12">INDIRECT("'" &amp; D4 &amp; "'!M22")</f>
        <v/>
      </c>
      <c r="E26" s="9" t="str">
        <f t="shared" si="12"/>
        <v/>
      </c>
      <c r="F26" s="18" t="str">
        <f t="shared" si="12"/>
        <v>#REF!</v>
      </c>
      <c r="G26" s="9" t="str">
        <f t="shared" si="12"/>
        <v/>
      </c>
      <c r="H26" s="18" t="str">
        <f t="shared" si="12"/>
        <v>#REF!</v>
      </c>
      <c r="I26" s="9" t="str">
        <f t="shared" si="12"/>
        <v/>
      </c>
      <c r="J26" s="19" t="str">
        <f t="shared" si="12"/>
        <v>#REF!</v>
      </c>
      <c r="K26" s="9" t="str">
        <f t="shared" si="12"/>
        <v/>
      </c>
      <c r="L26" s="19" t="str">
        <f t="shared" si="12"/>
        <v>#REF!</v>
      </c>
      <c r="M26" s="9" t="str">
        <f t="shared" si="12"/>
        <v/>
      </c>
      <c r="N26" s="19" t="str">
        <f t="shared" si="12"/>
        <v>#REF!</v>
      </c>
      <c r="O26" s="9" t="str">
        <f t="shared" si="12"/>
        <v/>
      </c>
      <c r="P26" s="17" t="str">
        <f t="shared" si="2"/>
        <v>CENTER AUTO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8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7" t="str">
        <f t="shared" si="2"/>
        <v/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23.25" customHeight="1">
      <c r="A28" s="9"/>
      <c r="B28" s="17" t="s">
        <v>33</v>
      </c>
      <c r="C28" s="9"/>
      <c r="D28" s="18" t="str">
        <f t="shared" ref="D28:O28" si="13">INDIRECT("'" &amp; D4 &amp; "'!M23")</f>
        <v/>
      </c>
      <c r="E28" s="9" t="str">
        <f t="shared" si="13"/>
        <v/>
      </c>
      <c r="F28" s="18" t="str">
        <f t="shared" si="13"/>
        <v>#REF!</v>
      </c>
      <c r="G28" s="9" t="str">
        <f t="shared" si="13"/>
        <v/>
      </c>
      <c r="H28" s="18" t="str">
        <f t="shared" si="13"/>
        <v>#REF!</v>
      </c>
      <c r="I28" s="9" t="str">
        <f t="shared" si="13"/>
        <v/>
      </c>
      <c r="J28" s="19" t="str">
        <f t="shared" si="13"/>
        <v>#REF!</v>
      </c>
      <c r="K28" s="9" t="str">
        <f t="shared" si="13"/>
        <v/>
      </c>
      <c r="L28" s="19" t="str">
        <f t="shared" si="13"/>
        <v>#REF!</v>
      </c>
      <c r="M28" s="9" t="str">
        <f t="shared" si="13"/>
        <v/>
      </c>
      <c r="N28" s="19" t="str">
        <f t="shared" si="13"/>
        <v>#REF!</v>
      </c>
      <c r="O28" s="9" t="str">
        <f t="shared" si="13"/>
        <v/>
      </c>
      <c r="P28" s="17" t="str">
        <f t="shared" si="2"/>
        <v># OF SWEEPS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8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7" t="str">
        <f t="shared" si="2"/>
        <v/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23.25" customHeight="1">
      <c r="A30" s="9"/>
      <c r="B30" s="17" t="s">
        <v>34</v>
      </c>
      <c r="C30" s="9"/>
      <c r="D30" s="18" t="str">
        <f t="shared" ref="D30:O30" si="14">INDIRECT("'" &amp; D4 &amp; "'!M24")</f>
        <v/>
      </c>
      <c r="E30" s="9" t="str">
        <f t="shared" si="14"/>
        <v/>
      </c>
      <c r="F30" s="18" t="str">
        <f t="shared" si="14"/>
        <v>#REF!</v>
      </c>
      <c r="G30" s="9" t="str">
        <f t="shared" si="14"/>
        <v/>
      </c>
      <c r="H30" s="18" t="str">
        <f t="shared" si="14"/>
        <v>#REF!</v>
      </c>
      <c r="I30" s="9" t="str">
        <f t="shared" si="14"/>
        <v/>
      </c>
      <c r="J30" s="19" t="str">
        <f t="shared" si="14"/>
        <v>#REF!</v>
      </c>
      <c r="K30" s="9" t="str">
        <f t="shared" si="14"/>
        <v/>
      </c>
      <c r="L30" s="19" t="str">
        <f t="shared" si="14"/>
        <v>#REF!</v>
      </c>
      <c r="M30" s="9" t="str">
        <f t="shared" si="14"/>
        <v/>
      </c>
      <c r="N30" s="19" t="str">
        <f t="shared" si="14"/>
        <v>#REF!</v>
      </c>
      <c r="O30" s="9" t="str">
        <f t="shared" si="14"/>
        <v/>
      </c>
      <c r="P30" s="17" t="str">
        <f t="shared" si="2"/>
        <v>DEPOT AUTO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8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7" t="str">
        <f t="shared" si="2"/>
        <v/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23.25" customHeight="1">
      <c r="A32" s="9"/>
      <c r="B32" s="17" t="s">
        <v>35</v>
      </c>
      <c r="C32" s="9"/>
      <c r="D32" s="18" t="str">
        <f t="shared" ref="D32:O32" si="15">INDIRECT("'" &amp; D4 &amp; "'!M25")</f>
        <v/>
      </c>
      <c r="E32" s="9" t="str">
        <f t="shared" si="15"/>
        <v/>
      </c>
      <c r="F32" s="18" t="str">
        <f t="shared" si="15"/>
        <v>#REF!</v>
      </c>
      <c r="G32" s="9" t="str">
        <f t="shared" si="15"/>
        <v/>
      </c>
      <c r="H32" s="18" t="str">
        <f t="shared" si="15"/>
        <v>#REF!</v>
      </c>
      <c r="I32" s="9" t="str">
        <f t="shared" si="15"/>
        <v/>
      </c>
      <c r="J32" s="19" t="str">
        <f t="shared" si="15"/>
        <v>#REF!</v>
      </c>
      <c r="K32" s="9" t="str">
        <f t="shared" si="15"/>
        <v/>
      </c>
      <c r="L32" s="19" t="str">
        <f t="shared" si="15"/>
        <v>#REF!</v>
      </c>
      <c r="M32" s="9" t="str">
        <f t="shared" si="15"/>
        <v/>
      </c>
      <c r="N32" s="19" t="str">
        <f t="shared" si="15"/>
        <v>#REF!</v>
      </c>
      <c r="O32" s="9" t="str">
        <f t="shared" si="15"/>
        <v/>
      </c>
      <c r="P32" s="17" t="str">
        <f t="shared" si="2"/>
        <v>OUTPOST AUTO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0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7" t="str">
        <f t="shared" si="2"/>
        <v/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23.25" customHeight="1">
      <c r="A34" s="9"/>
      <c r="B34" s="17" t="s">
        <v>36</v>
      </c>
      <c r="C34" s="9"/>
      <c r="D34" s="18" t="str">
        <f t="shared" ref="D34:O34" si="16">INDIRECT("'" &amp; D4 &amp; "'!G5")</f>
        <v>SWERVE</v>
      </c>
      <c r="E34" s="9" t="str">
        <f t="shared" si="16"/>
        <v/>
      </c>
      <c r="F34" s="18" t="str">
        <f t="shared" si="16"/>
        <v>#REF!</v>
      </c>
      <c r="G34" s="9" t="str">
        <f t="shared" si="16"/>
        <v/>
      </c>
      <c r="H34" s="18" t="str">
        <f t="shared" si="16"/>
        <v>#REF!</v>
      </c>
      <c r="I34" s="9" t="str">
        <f t="shared" si="16"/>
        <v/>
      </c>
      <c r="J34" s="19" t="str">
        <f t="shared" si="16"/>
        <v>#REF!</v>
      </c>
      <c r="K34" s="9" t="str">
        <f t="shared" si="16"/>
        <v/>
      </c>
      <c r="L34" s="19" t="str">
        <f t="shared" si="16"/>
        <v>#REF!</v>
      </c>
      <c r="M34" s="9" t="str">
        <f t="shared" si="16"/>
        <v/>
      </c>
      <c r="N34" s="19" t="str">
        <f t="shared" si="16"/>
        <v>#REF!</v>
      </c>
      <c r="O34" s="9" t="str">
        <f t="shared" si="16"/>
        <v/>
      </c>
      <c r="P34" s="17" t="str">
        <f t="shared" si="2"/>
        <v>ROBOT WEIGHT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9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tr">
        <f t="shared" si="2"/>
        <v/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23.25" customHeight="1">
      <c r="A36" s="9"/>
      <c r="B36" s="9" t="s">
        <v>23</v>
      </c>
      <c r="C36" s="9"/>
      <c r="D36" s="18">
        <f t="shared" ref="D36:N36" si="17">D4</f>
        <v>263</v>
      </c>
      <c r="E36" s="9" t="str">
        <f t="shared" si="17"/>
        <v/>
      </c>
      <c r="F36" s="18">
        <f t="shared" si="17"/>
        <v>10413</v>
      </c>
      <c r="G36" s="9" t="str">
        <f t="shared" si="17"/>
        <v/>
      </c>
      <c r="H36" s="18">
        <f t="shared" si="17"/>
        <v>1493</v>
      </c>
      <c r="I36" s="9" t="str">
        <f t="shared" si="17"/>
        <v/>
      </c>
      <c r="J36" s="19">
        <f t="shared" si="17"/>
        <v>578</v>
      </c>
      <c r="K36" s="9" t="str">
        <f t="shared" si="17"/>
        <v/>
      </c>
      <c r="L36" s="19">
        <f t="shared" si="17"/>
        <v>9194</v>
      </c>
      <c r="M36" s="9" t="str">
        <f t="shared" si="17"/>
        <v/>
      </c>
      <c r="N36" s="19">
        <f t="shared" si="17"/>
        <v>4930</v>
      </c>
      <c r="O36" s="9"/>
      <c r="P36" s="9" t="str">
        <f t="shared" si="2"/>
        <v>TEAM NUMBER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23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23.25" customHeight="1">
      <c r="A38" s="9"/>
      <c r="B38" s="9"/>
      <c r="C38" s="9"/>
      <c r="D38" s="9"/>
      <c r="E38" s="18" t="s">
        <v>37</v>
      </c>
      <c r="H38" s="22" t="str">
        <f>SUM(D6:H6)</f>
        <v>#REF!</v>
      </c>
      <c r="I38" s="9"/>
      <c r="J38" s="19" t="str">
        <f>SUM(J6:N6)</f>
        <v>#REF!</v>
      </c>
      <c r="K38" s="19" t="s">
        <v>37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23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23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23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23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23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23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23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23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23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23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23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23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23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23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23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23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23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23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23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23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23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23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23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23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23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23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23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23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23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23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23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23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23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23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23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23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23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23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23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23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23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23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23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23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23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23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23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23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23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23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23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23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23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23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23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23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23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23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23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23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23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23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23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23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23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23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23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23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23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23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23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23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23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23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23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23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23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23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23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23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23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23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23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23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23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23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23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23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23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23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23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23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23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23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23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23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23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23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23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23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23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23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23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23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23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23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23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23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23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23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ht="23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ht="23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ht="23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ht="23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ht="23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ht="23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23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23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23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23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23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23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23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23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23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23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23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23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23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23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23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23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23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23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23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23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23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23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23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23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23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23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ht="23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23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ht="23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ht="23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ht="23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ht="23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ht="23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ht="23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23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ht="23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ht="23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ht="23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ht="23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ht="23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ht="23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ht="23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ht="23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ht="23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ht="23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ht="23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ht="23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ht="23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ht="23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23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ht="23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ht="23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ht="23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ht="23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ht="23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ht="23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ht="23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23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23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23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23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23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23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23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23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23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23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23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23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23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23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23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23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23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23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23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23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23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23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23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23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23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23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23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ht="23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ht="23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ht="23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ht="23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ht="23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23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ht="23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ht="23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ht="23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23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ht="23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ht="23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ht="23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ht="23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ht="23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ht="23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ht="23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ht="23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ht="23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ht="23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23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ht="23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ht="23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ht="23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ht="23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ht="23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ht="23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ht="23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ht="23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ht="23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ht="23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ht="23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ht="23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ht="23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ht="23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ht="23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ht="23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ht="23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ht="23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ht="23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ht="23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ht="23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ht="23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ht="23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ht="23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ht="23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ht="23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ht="23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ht="23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ht="23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ht="23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ht="23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ht="23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ht="23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23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23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ht="23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ht="23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ht="23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ht="23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ht="23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ht="23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ht="23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ht="23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ht="23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ht="23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ht="23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ht="23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ht="23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ht="23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ht="23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ht="23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ht="23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ht="23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ht="23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ht="23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ht="23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ht="23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ht="23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ht="23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ht="23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ht="23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ht="23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ht="23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ht="23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ht="23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ht="23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ht="23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ht="23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ht="23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ht="23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ht="23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ht="23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ht="23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ht="23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ht="23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ht="23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ht="23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ht="23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ht="23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ht="23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ht="23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ht="23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ht="23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ht="23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ht="23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ht="23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23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23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23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23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ht="23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ht="23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ht="23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ht="23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23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23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23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23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23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ht="23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ht="23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ht="23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ht="23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ht="23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ht="23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ht="23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ht="23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ht="23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ht="23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ht="23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ht="23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ht="23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ht="23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23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23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ht="23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ht="23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ht="23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ht="23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23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23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ht="23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ht="23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ht="23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ht="23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ht="23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ht="23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ht="23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ht="23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ht="23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23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23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ht="23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ht="23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ht="23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ht="23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ht="23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ht="23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ht="23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ht="23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23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23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ht="23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ht="23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ht="23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ht="23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ht="23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ht="23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ht="23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ht="23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ht="23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ht="23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ht="23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ht="23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ht="23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ht="23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ht="23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ht="23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ht="23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ht="23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ht="23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ht="23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ht="23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ht="23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ht="23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ht="23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ht="23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ht="23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ht="23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ht="23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ht="23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ht="23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ht="23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ht="23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ht="23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ht="23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ht="23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ht="23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ht="23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ht="23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ht="23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ht="23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ht="23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ht="23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ht="23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ht="23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ht="23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ht="23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ht="23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ht="23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ht="23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ht="23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ht="23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ht="23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ht="23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ht="23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ht="23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ht="23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ht="23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ht="23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ht="23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ht="23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ht="23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ht="23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ht="23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ht="23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ht="23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ht="23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ht="23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ht="23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ht="23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ht="23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ht="23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ht="23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ht="23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ht="23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ht="23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ht="23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ht="23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ht="23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ht="23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ht="23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ht="23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ht="23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ht="23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ht="23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ht="23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</row>
  </sheetData>
  <mergeCells count="2">
    <mergeCell ref="E38:G38"/>
    <mergeCell ref="K38:M3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8.0"/>
    <col customWidth="1" min="3" max="3" width="3.0"/>
    <col customWidth="1" min="4" max="4" width="16.13"/>
    <col customWidth="1" min="5" max="5" width="3.0"/>
    <col customWidth="1" min="6" max="6" width="16.13"/>
    <col customWidth="1" min="7" max="7" width="3.0"/>
    <col customWidth="1" min="8" max="8" width="16.13"/>
    <col customWidth="1" min="9" max="9" width="3.0"/>
    <col customWidth="1" min="10" max="10" width="16.13"/>
    <col customWidth="1" min="11" max="11" width="3.0"/>
    <col customWidth="1" min="12" max="12" width="16.13"/>
    <col customWidth="1" min="13" max="13" width="3.0"/>
    <col customWidth="1" min="14" max="14" width="16.13"/>
    <col customWidth="1" min="15" max="15" width="3.0"/>
    <col customWidth="1" min="16" max="16" width="20.0"/>
    <col customWidth="1" min="17" max="30" width="16.13"/>
  </cols>
  <sheetData>
    <row r="1" ht="8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ht="23.25" customHeight="1">
      <c r="A2" s="9"/>
      <c r="B2" s="9"/>
      <c r="C2" s="14"/>
      <c r="D2" s="15" t="s">
        <v>17</v>
      </c>
      <c r="E2" s="14"/>
      <c r="F2" s="15" t="s">
        <v>18</v>
      </c>
      <c r="G2" s="14"/>
      <c r="H2" s="15" t="s">
        <v>19</v>
      </c>
      <c r="I2" s="14"/>
      <c r="J2" s="16" t="s">
        <v>20</v>
      </c>
      <c r="K2" s="14"/>
      <c r="L2" s="16" t="s">
        <v>21</v>
      </c>
      <c r="M2" s="14"/>
      <c r="N2" s="16" t="s">
        <v>22</v>
      </c>
      <c r="O2" s="14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8.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23.25" customHeight="1">
      <c r="A4" s="9"/>
      <c r="B4" s="14" t="s">
        <v>23</v>
      </c>
      <c r="C4" s="9"/>
      <c r="D4" s="15">
        <v>5881.0</v>
      </c>
      <c r="E4" s="14"/>
      <c r="F4" s="15">
        <v>263.0</v>
      </c>
      <c r="G4" s="14"/>
      <c r="H4" s="15">
        <v>1591.0</v>
      </c>
      <c r="I4" s="14"/>
      <c r="J4" s="16">
        <v>870.0</v>
      </c>
      <c r="K4" s="14"/>
      <c r="L4" s="16">
        <v>4122.0</v>
      </c>
      <c r="M4" s="14"/>
      <c r="N4" s="16">
        <v>3044.0</v>
      </c>
      <c r="O4" s="14"/>
      <c r="P4" s="14" t="s">
        <v>23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8.2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23.25" customHeight="1">
      <c r="A6" s="9"/>
      <c r="B6" s="17" t="s">
        <v>10</v>
      </c>
      <c r="C6" s="9"/>
      <c r="D6" s="18" t="str">
        <f t="shared" ref="D6:O6" si="1">INDIRECT("'" &amp; D4 &amp; "'!C4")</f>
        <v>#REF!</v>
      </c>
      <c r="E6" s="9" t="str">
        <f t="shared" si="1"/>
        <v/>
      </c>
      <c r="F6" s="18">
        <f t="shared" si="1"/>
        <v>79.71</v>
      </c>
      <c r="G6" s="9" t="str">
        <f t="shared" si="1"/>
        <v/>
      </c>
      <c r="H6" s="18" t="str">
        <f t="shared" si="1"/>
        <v>#REF!</v>
      </c>
      <c r="I6" s="9" t="str">
        <f t="shared" si="1"/>
        <v/>
      </c>
      <c r="J6" s="19" t="str">
        <f t="shared" si="1"/>
        <v>#REF!</v>
      </c>
      <c r="K6" s="9" t="str">
        <f t="shared" si="1"/>
        <v/>
      </c>
      <c r="L6" s="19" t="str">
        <f t="shared" si="1"/>
        <v>#REF!</v>
      </c>
      <c r="M6" s="9" t="str">
        <f t="shared" si="1"/>
        <v/>
      </c>
      <c r="N6" s="19" t="str">
        <f t="shared" si="1"/>
        <v>#REF!</v>
      </c>
      <c r="O6" s="9" t="str">
        <f t="shared" si="1"/>
        <v/>
      </c>
      <c r="P6" s="17" t="str">
        <f t="shared" ref="P6:P36" si="2">B6</f>
        <v>TOTAL EPA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8.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7" t="str">
        <f t="shared" si="2"/>
        <v/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ht="23.25" customHeight="1">
      <c r="A8" s="9"/>
      <c r="B8" s="17" t="s">
        <v>11</v>
      </c>
      <c r="C8" s="17"/>
      <c r="D8" s="20" t="str">
        <f t="shared" ref="D8:O8" si="3">INDIRECT("'" &amp; D4 &amp; "'!C6")</f>
        <v>#REF!</v>
      </c>
      <c r="E8" s="17" t="str">
        <f t="shared" si="3"/>
        <v/>
      </c>
      <c r="F8" s="20">
        <f t="shared" si="3"/>
        <v>17.33</v>
      </c>
      <c r="G8" s="17" t="str">
        <f t="shared" si="3"/>
        <v/>
      </c>
      <c r="H8" s="20" t="str">
        <f t="shared" si="3"/>
        <v>#REF!</v>
      </c>
      <c r="I8" s="17" t="str">
        <f t="shared" si="3"/>
        <v/>
      </c>
      <c r="J8" s="21" t="str">
        <f t="shared" si="3"/>
        <v>#REF!</v>
      </c>
      <c r="K8" s="17" t="str">
        <f t="shared" si="3"/>
        <v/>
      </c>
      <c r="L8" s="21" t="str">
        <f t="shared" si="3"/>
        <v>#REF!</v>
      </c>
      <c r="M8" s="17" t="str">
        <f t="shared" si="3"/>
        <v/>
      </c>
      <c r="N8" s="21" t="str">
        <f t="shared" si="3"/>
        <v>#REF!</v>
      </c>
      <c r="O8" s="17" t="str">
        <f t="shared" si="3"/>
        <v/>
      </c>
      <c r="P8" s="17" t="str">
        <f t="shared" si="2"/>
        <v>AUTO EPA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ht="8.2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7" t="str">
        <f t="shared" si="2"/>
        <v/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23.25" customHeight="1">
      <c r="A10" s="9"/>
      <c r="B10" s="17" t="s">
        <v>24</v>
      </c>
      <c r="C10" s="9"/>
      <c r="D10" s="20" t="str">
        <f t="shared" ref="D10:O10" si="4">INDIRECT("'" &amp; D4 &amp; "'!C8")</f>
        <v>#REF!</v>
      </c>
      <c r="E10" s="17" t="str">
        <f t="shared" si="4"/>
        <v/>
      </c>
      <c r="F10" s="20">
        <f t="shared" si="4"/>
        <v>41.46</v>
      </c>
      <c r="G10" s="17" t="str">
        <f t="shared" si="4"/>
        <v/>
      </c>
      <c r="H10" s="20" t="str">
        <f t="shared" si="4"/>
        <v>#REF!</v>
      </c>
      <c r="I10" s="17" t="str">
        <f t="shared" si="4"/>
        <v/>
      </c>
      <c r="J10" s="21" t="str">
        <f t="shared" si="4"/>
        <v>#REF!</v>
      </c>
      <c r="K10" s="17" t="str">
        <f t="shared" si="4"/>
        <v/>
      </c>
      <c r="L10" s="21" t="str">
        <f t="shared" si="4"/>
        <v>#REF!</v>
      </c>
      <c r="M10" s="17" t="str">
        <f t="shared" si="4"/>
        <v/>
      </c>
      <c r="N10" s="21" t="str">
        <f t="shared" si="4"/>
        <v>#REF!</v>
      </c>
      <c r="O10" s="17" t="str">
        <f t="shared" si="4"/>
        <v/>
      </c>
      <c r="P10" s="17" t="str">
        <f t="shared" si="2"/>
        <v>TELE-OP EPA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ht="8.2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7" t="str">
        <f t="shared" si="2"/>
        <v/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ht="23.25" customHeight="1">
      <c r="A12" s="9"/>
      <c r="B12" s="17" t="s">
        <v>25</v>
      </c>
      <c r="C12" s="17"/>
      <c r="D12" s="20" t="str">
        <f t="shared" ref="D12:O12" si="5">INDIRECT("'" &amp; D4 &amp; "'!C10")</f>
        <v>#REF!</v>
      </c>
      <c r="E12" s="17" t="str">
        <f t="shared" si="5"/>
        <v/>
      </c>
      <c r="F12" s="20">
        <f t="shared" si="5"/>
        <v>20.92</v>
      </c>
      <c r="G12" s="17" t="str">
        <f t="shared" si="5"/>
        <v/>
      </c>
      <c r="H12" s="20" t="str">
        <f t="shared" si="5"/>
        <v>#REF!</v>
      </c>
      <c r="I12" s="17" t="str">
        <f t="shared" si="5"/>
        <v/>
      </c>
      <c r="J12" s="21" t="str">
        <f t="shared" si="5"/>
        <v>#REF!</v>
      </c>
      <c r="K12" s="17" t="str">
        <f t="shared" si="5"/>
        <v/>
      </c>
      <c r="L12" s="21" t="str">
        <f t="shared" si="5"/>
        <v>#REF!</v>
      </c>
      <c r="M12" s="17" t="str">
        <f t="shared" si="5"/>
        <v/>
      </c>
      <c r="N12" s="21" t="str">
        <f t="shared" si="5"/>
        <v>#REF!</v>
      </c>
      <c r="O12" s="17" t="str">
        <f t="shared" si="5"/>
        <v/>
      </c>
      <c r="P12" s="17" t="str">
        <f t="shared" si="2"/>
        <v>ENDGAME EPA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ht="8.2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7" t="str">
        <f t="shared" si="2"/>
        <v/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23.25" customHeight="1">
      <c r="A14" s="9"/>
      <c r="B14" s="17" t="s">
        <v>26</v>
      </c>
      <c r="C14" s="9"/>
      <c r="D14" s="18" t="str">
        <f t="array" ref="D14">INDIRECT("'" &amp; D4 &amp; "'!J12")</f>
        <v>#REF!</v>
      </c>
      <c r="E14" s="9"/>
      <c r="F14" s="18" t="str">
        <f t="array" ref="F14">INDIRECT("'" &amp; F4 &amp; "'!J12")</f>
        <v/>
      </c>
      <c r="G14" s="9"/>
      <c r="H14" s="18" t="str">
        <f t="array" ref="H14">INDIRECT("'" &amp; H4 &amp; "'!J12")</f>
        <v>#REF!</v>
      </c>
      <c r="I14" s="9"/>
      <c r="J14" s="19" t="str">
        <f t="array" ref="J14">INDIRECT("'" &amp; J4 &amp; "'!J12")</f>
        <v>#REF!</v>
      </c>
      <c r="K14" s="9"/>
      <c r="L14" s="19" t="str">
        <f t="array" ref="L14">INDIRECT("'" &amp; L4 &amp; "'!J12")</f>
        <v>#REF!</v>
      </c>
      <c r="M14" s="9"/>
      <c r="N14" s="19" t="str">
        <f t="array" ref="N14">INDIRECT("'" &amp; N4 &amp; "'!J12")</f>
        <v>#REF!</v>
      </c>
      <c r="O14" s="9"/>
      <c r="P14" s="17" t="str">
        <f t="shared" si="2"/>
        <v>TRENCH?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8.2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7" t="str">
        <f t="shared" si="2"/>
        <v/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23.25" customHeight="1">
      <c r="A16" s="9"/>
      <c r="B16" s="17" t="s">
        <v>27</v>
      </c>
      <c r="C16" s="17"/>
      <c r="D16" s="20" t="str">
        <f t="shared" ref="D16:O16" si="6">INDIRECT("'" &amp; D4 &amp; "'!J5")</f>
        <v>#REF!</v>
      </c>
      <c r="E16" s="17" t="str">
        <f t="shared" si="6"/>
        <v/>
      </c>
      <c r="F16" s="20" t="str">
        <f t="shared" si="6"/>
        <v/>
      </c>
      <c r="G16" s="17" t="str">
        <f t="shared" si="6"/>
        <v/>
      </c>
      <c r="H16" s="20" t="str">
        <f t="shared" si="6"/>
        <v>#REF!</v>
      </c>
      <c r="I16" s="17" t="str">
        <f t="shared" si="6"/>
        <v/>
      </c>
      <c r="J16" s="21" t="str">
        <f t="shared" si="6"/>
        <v>#REF!</v>
      </c>
      <c r="K16" s="17" t="str">
        <f t="shared" si="6"/>
        <v/>
      </c>
      <c r="L16" s="21" t="str">
        <f t="shared" si="6"/>
        <v>#REF!</v>
      </c>
      <c r="M16" s="17" t="str">
        <f t="shared" si="6"/>
        <v/>
      </c>
      <c r="N16" s="21" t="str">
        <f t="shared" si="6"/>
        <v>#REF!</v>
      </c>
      <c r="O16" s="17" t="str">
        <f t="shared" si="6"/>
        <v/>
      </c>
      <c r="P16" s="17" t="str">
        <f t="shared" si="2"/>
        <v>DRIVE BASE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8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7" t="str">
        <f t="shared" si="2"/>
        <v/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23.25" customHeight="1">
      <c r="A18" s="9"/>
      <c r="B18" s="17" t="s">
        <v>28</v>
      </c>
      <c r="C18" s="9"/>
      <c r="D18" s="20" t="str">
        <f t="shared" ref="D18:O18" si="7">INDIRECT("'" &amp; D4 &amp; "'!M12")</f>
        <v>#REF!</v>
      </c>
      <c r="E18" s="17" t="str">
        <f t="shared" si="7"/>
        <v/>
      </c>
      <c r="F18" s="20" t="str">
        <f t="shared" si="7"/>
        <v/>
      </c>
      <c r="G18" s="17" t="str">
        <f t="shared" si="7"/>
        <v/>
      </c>
      <c r="H18" s="20" t="str">
        <f t="shared" si="7"/>
        <v>#REF!</v>
      </c>
      <c r="I18" s="17" t="str">
        <f t="shared" si="7"/>
        <v/>
      </c>
      <c r="J18" s="21" t="str">
        <f t="shared" si="7"/>
        <v>#REF!</v>
      </c>
      <c r="K18" s="17" t="str">
        <f t="shared" si="7"/>
        <v/>
      </c>
      <c r="L18" s="21" t="str">
        <f t="shared" si="7"/>
        <v>#REF!</v>
      </c>
      <c r="M18" s="17" t="str">
        <f t="shared" si="7"/>
        <v/>
      </c>
      <c r="N18" s="21" t="str">
        <f t="shared" si="7"/>
        <v>#REF!</v>
      </c>
      <c r="O18" s="17" t="str">
        <f t="shared" si="7"/>
        <v/>
      </c>
      <c r="P18" s="17" t="str">
        <f t="shared" si="2"/>
        <v>SHOOTER STYLE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8.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7" t="str">
        <f t="shared" si="2"/>
        <v/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ht="23.25" customHeight="1">
      <c r="A20" s="9"/>
      <c r="B20" s="17" t="s">
        <v>29</v>
      </c>
      <c r="C20" s="9"/>
      <c r="D20" s="18" t="str">
        <f t="shared" ref="D20:O20" si="8">INDIRECT("'" &amp; D4 &amp; "'!M13")</f>
        <v>#REF!</v>
      </c>
      <c r="E20" s="9" t="str">
        <f t="shared" si="8"/>
        <v/>
      </c>
      <c r="F20" s="18" t="str">
        <f t="shared" si="8"/>
        <v/>
      </c>
      <c r="G20" s="9" t="str">
        <f t="shared" si="8"/>
        <v/>
      </c>
      <c r="H20" s="18" t="str">
        <f t="shared" si="8"/>
        <v>#REF!</v>
      </c>
      <c r="I20" s="9" t="str">
        <f t="shared" si="8"/>
        <v/>
      </c>
      <c r="J20" s="19" t="str">
        <f t="shared" si="8"/>
        <v>#REF!</v>
      </c>
      <c r="K20" s="9" t="str">
        <f t="shared" si="8"/>
        <v/>
      </c>
      <c r="L20" s="19" t="str">
        <f t="shared" si="8"/>
        <v>#REF!</v>
      </c>
      <c r="M20" s="9" t="str">
        <f t="shared" si="8"/>
        <v/>
      </c>
      <c r="N20" s="19" t="str">
        <f t="shared" si="8"/>
        <v>#REF!</v>
      </c>
      <c r="O20" s="9" t="str">
        <f t="shared" si="8"/>
        <v/>
      </c>
      <c r="P20" s="17" t="str">
        <f t="shared" si="2"/>
        <v># OF LANES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8.2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7" t="str">
        <f t="shared" si="2"/>
        <v/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23.25" customHeight="1">
      <c r="A22" s="9"/>
      <c r="B22" s="14" t="s">
        <v>30</v>
      </c>
      <c r="C22" s="9"/>
      <c r="D22" s="18" t="str">
        <f t="shared" ref="D22:H22" si="9">INDIRECT("'" &amp; D4 &amp; "'!J17")</f>
        <v>#REF!</v>
      </c>
      <c r="E22" s="9" t="str">
        <f t="shared" si="9"/>
        <v/>
      </c>
      <c r="F22" s="18" t="str">
        <f t="shared" si="9"/>
        <v/>
      </c>
      <c r="G22" s="9" t="str">
        <f t="shared" si="9"/>
        <v/>
      </c>
      <c r="H22" s="18" t="str">
        <f t="shared" si="9"/>
        <v>#REF!</v>
      </c>
      <c r="I22" s="9"/>
      <c r="J22" s="19" t="str">
        <f t="shared" ref="J22:N22" si="10">INDIRECT("'" &amp; J4 &amp; "'!J17")</f>
        <v>#REF!</v>
      </c>
      <c r="K22" s="9" t="str">
        <f t="shared" si="10"/>
        <v/>
      </c>
      <c r="L22" s="19" t="str">
        <f t="shared" si="10"/>
        <v>#REF!</v>
      </c>
      <c r="M22" s="9" t="str">
        <f t="shared" si="10"/>
        <v/>
      </c>
      <c r="N22" s="19" t="str">
        <f t="shared" si="10"/>
        <v>#REF!</v>
      </c>
      <c r="O22" s="9"/>
      <c r="P22" s="17" t="str">
        <f t="shared" si="2"/>
        <v>HOPPER CAPACITY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8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7" t="str">
        <f t="shared" si="2"/>
        <v/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23.25" customHeight="1">
      <c r="A24" s="9"/>
      <c r="B24" s="17" t="s">
        <v>31</v>
      </c>
      <c r="C24" s="9"/>
      <c r="D24" s="18" t="str">
        <f t="shared" ref="D24:O24" si="11">INDIRECT("'" &amp; D4 &amp; "'!M21")</f>
        <v>#REF!</v>
      </c>
      <c r="E24" s="9" t="str">
        <f t="shared" si="11"/>
        <v/>
      </c>
      <c r="F24" s="18" t="str">
        <f t="shared" si="11"/>
        <v/>
      </c>
      <c r="G24" s="9" t="str">
        <f t="shared" si="11"/>
        <v/>
      </c>
      <c r="H24" s="18" t="str">
        <f t="shared" si="11"/>
        <v>#REF!</v>
      </c>
      <c r="I24" s="9" t="str">
        <f t="shared" si="11"/>
        <v/>
      </c>
      <c r="J24" s="19" t="str">
        <f t="shared" si="11"/>
        <v>#REF!</v>
      </c>
      <c r="K24" s="9" t="str">
        <f t="shared" si="11"/>
        <v/>
      </c>
      <c r="L24" s="19" t="str">
        <f t="shared" si="11"/>
        <v>#REF!</v>
      </c>
      <c r="M24" s="9" t="str">
        <f t="shared" si="11"/>
        <v/>
      </c>
      <c r="N24" s="19" t="str">
        <f t="shared" si="11"/>
        <v>#REF!</v>
      </c>
      <c r="O24" s="9" t="str">
        <f t="shared" si="11"/>
        <v/>
      </c>
      <c r="P24" s="17" t="str">
        <f t="shared" si="2"/>
        <v>SHOOT PRELOAD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8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7" t="str">
        <f t="shared" si="2"/>
        <v/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23.25" customHeight="1">
      <c r="A26" s="9"/>
      <c r="B26" s="17" t="s">
        <v>32</v>
      </c>
      <c r="C26" s="9"/>
      <c r="D26" s="18" t="str">
        <f t="shared" ref="D26:O26" si="12">INDIRECT("'" &amp; D4 &amp; "'!M22")</f>
        <v>#REF!</v>
      </c>
      <c r="E26" s="9" t="str">
        <f t="shared" si="12"/>
        <v/>
      </c>
      <c r="F26" s="18" t="str">
        <f t="shared" si="12"/>
        <v/>
      </c>
      <c r="G26" s="9" t="str">
        <f t="shared" si="12"/>
        <v/>
      </c>
      <c r="H26" s="18" t="str">
        <f t="shared" si="12"/>
        <v>#REF!</v>
      </c>
      <c r="I26" s="9" t="str">
        <f t="shared" si="12"/>
        <v/>
      </c>
      <c r="J26" s="19" t="str">
        <f t="shared" si="12"/>
        <v>#REF!</v>
      </c>
      <c r="K26" s="9" t="str">
        <f t="shared" si="12"/>
        <v/>
      </c>
      <c r="L26" s="19" t="str">
        <f t="shared" si="12"/>
        <v>#REF!</v>
      </c>
      <c r="M26" s="9" t="str">
        <f t="shared" si="12"/>
        <v/>
      </c>
      <c r="N26" s="19" t="str">
        <f t="shared" si="12"/>
        <v>#REF!</v>
      </c>
      <c r="O26" s="9" t="str">
        <f t="shared" si="12"/>
        <v/>
      </c>
      <c r="P26" s="17" t="str">
        <f t="shared" si="2"/>
        <v>CENTER AUTO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8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7" t="str">
        <f t="shared" si="2"/>
        <v/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23.25" customHeight="1">
      <c r="A28" s="9"/>
      <c r="B28" s="17" t="s">
        <v>33</v>
      </c>
      <c r="C28" s="9"/>
      <c r="D28" s="18" t="str">
        <f t="shared" ref="D28:O28" si="13">INDIRECT("'" &amp; D4 &amp; "'!M23")</f>
        <v>#REF!</v>
      </c>
      <c r="E28" s="9" t="str">
        <f t="shared" si="13"/>
        <v/>
      </c>
      <c r="F28" s="18" t="str">
        <f t="shared" si="13"/>
        <v/>
      </c>
      <c r="G28" s="9" t="str">
        <f t="shared" si="13"/>
        <v/>
      </c>
      <c r="H28" s="18" t="str">
        <f t="shared" si="13"/>
        <v>#REF!</v>
      </c>
      <c r="I28" s="9" t="str">
        <f t="shared" si="13"/>
        <v/>
      </c>
      <c r="J28" s="19" t="str">
        <f t="shared" si="13"/>
        <v>#REF!</v>
      </c>
      <c r="K28" s="9" t="str">
        <f t="shared" si="13"/>
        <v/>
      </c>
      <c r="L28" s="19" t="str">
        <f t="shared" si="13"/>
        <v>#REF!</v>
      </c>
      <c r="M28" s="9" t="str">
        <f t="shared" si="13"/>
        <v/>
      </c>
      <c r="N28" s="19" t="str">
        <f t="shared" si="13"/>
        <v>#REF!</v>
      </c>
      <c r="O28" s="9" t="str">
        <f t="shared" si="13"/>
        <v/>
      </c>
      <c r="P28" s="17" t="str">
        <f t="shared" si="2"/>
        <v># OF SWEEPS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8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7" t="str">
        <f t="shared" si="2"/>
        <v/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23.25" customHeight="1">
      <c r="A30" s="9"/>
      <c r="B30" s="17" t="s">
        <v>34</v>
      </c>
      <c r="C30" s="9"/>
      <c r="D30" s="18" t="str">
        <f t="shared" ref="D30:O30" si="14">INDIRECT("'" &amp; D4 &amp; "'!M24")</f>
        <v>#REF!</v>
      </c>
      <c r="E30" s="9" t="str">
        <f t="shared" si="14"/>
        <v/>
      </c>
      <c r="F30" s="18" t="str">
        <f t="shared" si="14"/>
        <v/>
      </c>
      <c r="G30" s="9" t="str">
        <f t="shared" si="14"/>
        <v/>
      </c>
      <c r="H30" s="18" t="str">
        <f t="shared" si="14"/>
        <v>#REF!</v>
      </c>
      <c r="I30" s="9" t="str">
        <f t="shared" si="14"/>
        <v/>
      </c>
      <c r="J30" s="19" t="str">
        <f t="shared" si="14"/>
        <v>#REF!</v>
      </c>
      <c r="K30" s="9" t="str">
        <f t="shared" si="14"/>
        <v/>
      </c>
      <c r="L30" s="19" t="str">
        <f t="shared" si="14"/>
        <v>#REF!</v>
      </c>
      <c r="M30" s="9" t="str">
        <f t="shared" si="14"/>
        <v/>
      </c>
      <c r="N30" s="19" t="str">
        <f t="shared" si="14"/>
        <v>#REF!</v>
      </c>
      <c r="O30" s="9" t="str">
        <f t="shared" si="14"/>
        <v/>
      </c>
      <c r="P30" s="17" t="str">
        <f t="shared" si="2"/>
        <v>DEPOT AUTO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8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7" t="str">
        <f t="shared" si="2"/>
        <v/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23.25" customHeight="1">
      <c r="A32" s="9"/>
      <c r="B32" s="17" t="s">
        <v>35</v>
      </c>
      <c r="C32" s="9"/>
      <c r="D32" s="18" t="str">
        <f t="shared" ref="D32:O32" si="15">INDIRECT("'" &amp; D4 &amp; "'!M25")</f>
        <v>#REF!</v>
      </c>
      <c r="E32" s="9" t="str">
        <f t="shared" si="15"/>
        <v/>
      </c>
      <c r="F32" s="18" t="str">
        <f t="shared" si="15"/>
        <v/>
      </c>
      <c r="G32" s="9" t="str">
        <f t="shared" si="15"/>
        <v/>
      </c>
      <c r="H32" s="18" t="str">
        <f t="shared" si="15"/>
        <v>#REF!</v>
      </c>
      <c r="I32" s="9" t="str">
        <f t="shared" si="15"/>
        <v/>
      </c>
      <c r="J32" s="19" t="str">
        <f t="shared" si="15"/>
        <v>#REF!</v>
      </c>
      <c r="K32" s="9" t="str">
        <f t="shared" si="15"/>
        <v/>
      </c>
      <c r="L32" s="19" t="str">
        <f t="shared" si="15"/>
        <v>#REF!</v>
      </c>
      <c r="M32" s="9" t="str">
        <f t="shared" si="15"/>
        <v/>
      </c>
      <c r="N32" s="19" t="str">
        <f t="shared" si="15"/>
        <v>#REF!</v>
      </c>
      <c r="O32" s="9" t="str">
        <f t="shared" si="15"/>
        <v/>
      </c>
      <c r="P32" s="17" t="str">
        <f t="shared" si="2"/>
        <v>OUTPOST AUTO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0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7" t="str">
        <f t="shared" si="2"/>
        <v/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23.25" customHeight="1">
      <c r="A34" s="9"/>
      <c r="B34" s="17" t="s">
        <v>36</v>
      </c>
      <c r="C34" s="9"/>
      <c r="D34" s="18" t="str">
        <f t="shared" ref="D34:O34" si="16">INDIRECT("'" &amp; D4 &amp; "'!G5")</f>
        <v>#REF!</v>
      </c>
      <c r="E34" s="9" t="str">
        <f t="shared" si="16"/>
        <v/>
      </c>
      <c r="F34" s="18" t="str">
        <f t="shared" si="16"/>
        <v>SWERVE</v>
      </c>
      <c r="G34" s="9" t="str">
        <f t="shared" si="16"/>
        <v/>
      </c>
      <c r="H34" s="18" t="str">
        <f t="shared" si="16"/>
        <v>#REF!</v>
      </c>
      <c r="I34" s="9" t="str">
        <f t="shared" si="16"/>
        <v/>
      </c>
      <c r="J34" s="19" t="str">
        <f t="shared" si="16"/>
        <v>#REF!</v>
      </c>
      <c r="K34" s="9" t="str">
        <f t="shared" si="16"/>
        <v/>
      </c>
      <c r="L34" s="19" t="str">
        <f t="shared" si="16"/>
        <v>#REF!</v>
      </c>
      <c r="M34" s="9" t="str">
        <f t="shared" si="16"/>
        <v/>
      </c>
      <c r="N34" s="19" t="str">
        <f t="shared" si="16"/>
        <v>#REF!</v>
      </c>
      <c r="O34" s="9" t="str">
        <f t="shared" si="16"/>
        <v/>
      </c>
      <c r="P34" s="17" t="str">
        <f t="shared" si="2"/>
        <v>ROBOT WEIGHT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9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tr">
        <f t="shared" si="2"/>
        <v/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23.25" customHeight="1">
      <c r="A36" s="9"/>
      <c r="B36" s="9" t="s">
        <v>23</v>
      </c>
      <c r="C36" s="9"/>
      <c r="D36" s="18">
        <f t="shared" ref="D36:N36" si="17">D4</f>
        <v>5881</v>
      </c>
      <c r="E36" s="9" t="str">
        <f t="shared" si="17"/>
        <v/>
      </c>
      <c r="F36" s="18">
        <f t="shared" si="17"/>
        <v>263</v>
      </c>
      <c r="G36" s="9" t="str">
        <f t="shared" si="17"/>
        <v/>
      </c>
      <c r="H36" s="18">
        <f t="shared" si="17"/>
        <v>1591</v>
      </c>
      <c r="I36" s="9" t="str">
        <f t="shared" si="17"/>
        <v/>
      </c>
      <c r="J36" s="19">
        <f t="shared" si="17"/>
        <v>870</v>
      </c>
      <c r="K36" s="9" t="str">
        <f t="shared" si="17"/>
        <v/>
      </c>
      <c r="L36" s="19">
        <f t="shared" si="17"/>
        <v>4122</v>
      </c>
      <c r="M36" s="9" t="str">
        <f t="shared" si="17"/>
        <v/>
      </c>
      <c r="N36" s="19">
        <f t="shared" si="17"/>
        <v>3044</v>
      </c>
      <c r="O36" s="9"/>
      <c r="P36" s="9" t="str">
        <f t="shared" si="2"/>
        <v>TEAM NUMBER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23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23.25" customHeight="1">
      <c r="A38" s="9"/>
      <c r="B38" s="9"/>
      <c r="C38" s="9"/>
      <c r="D38" s="9"/>
      <c r="E38" s="18" t="s">
        <v>37</v>
      </c>
      <c r="H38" s="22" t="str">
        <f>SUM(D6:H6)</f>
        <v>#REF!</v>
      </c>
      <c r="I38" s="9"/>
      <c r="J38" s="19" t="str">
        <f>SUM(J6:N6)</f>
        <v>#REF!</v>
      </c>
      <c r="K38" s="19" t="s">
        <v>37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23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23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23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23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23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23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23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23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23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23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23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23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23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23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23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23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23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23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23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23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23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23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23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23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23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23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23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23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23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23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23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23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23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23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23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23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23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23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23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23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23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23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23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23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23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23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23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23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23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23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23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23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23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23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23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23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23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23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23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23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23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23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23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23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23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23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23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23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23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23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23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23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23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23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23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23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23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23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23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23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23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23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23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23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23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23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23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23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23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23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23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23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23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23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23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23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23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23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23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23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23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23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23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23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23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23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23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23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23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23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ht="23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ht="23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ht="23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ht="23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ht="23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ht="23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23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23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23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23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23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23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23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23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23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23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23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23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23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23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23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23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23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23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23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23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23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23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23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23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23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23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ht="23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23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ht="23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ht="23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ht="23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ht="23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ht="23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ht="23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23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ht="23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ht="23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ht="23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ht="23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ht="23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ht="23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ht="23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ht="23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ht="23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ht="23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ht="23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ht="23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ht="23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ht="23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23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ht="23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ht="23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ht="23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ht="23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ht="23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ht="23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ht="23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23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23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23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23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23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23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23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23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23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23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23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23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23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23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23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23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23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23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23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23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23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23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23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23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23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23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23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ht="23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ht="23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ht="23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ht="23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ht="23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23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ht="23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ht="23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ht="23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23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ht="23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ht="23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ht="23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ht="23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ht="23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ht="23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ht="23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ht="23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ht="23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ht="23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23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ht="23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ht="23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ht="23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ht="23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ht="23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ht="23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ht="23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ht="23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ht="23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ht="23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ht="23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ht="23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ht="23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ht="23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ht="23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ht="23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ht="23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ht="23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ht="23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ht="23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ht="23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ht="23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ht="23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ht="23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ht="23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ht="23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ht="23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ht="23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ht="23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ht="23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ht="23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ht="23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ht="23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23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23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ht="23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ht="23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ht="23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ht="23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ht="23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ht="23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ht="23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ht="23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ht="23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ht="23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ht="23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ht="23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ht="23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ht="23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ht="23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ht="23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ht="23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ht="23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ht="23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ht="23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ht="23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ht="23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ht="23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ht="23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ht="23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ht="23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ht="23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ht="23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ht="23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ht="23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ht="23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ht="23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ht="23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ht="23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ht="23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ht="23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ht="23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ht="23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ht="23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ht="23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ht="23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ht="23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ht="23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ht="23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ht="23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ht="23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ht="23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ht="23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ht="23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ht="23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ht="23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23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23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23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23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ht="23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ht="23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ht="23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ht="23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23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23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23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23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23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ht="23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ht="23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ht="23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ht="23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ht="23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ht="23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ht="23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ht="23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ht="23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ht="23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ht="23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ht="23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ht="23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ht="23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23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23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ht="23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ht="23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ht="23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ht="23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23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23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ht="23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ht="23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ht="23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ht="23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ht="23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ht="23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ht="23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ht="23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ht="23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23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23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ht="23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ht="23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ht="23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ht="23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ht="23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ht="23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ht="23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ht="23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23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23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ht="23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ht="23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ht="23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ht="23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ht="23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ht="23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ht="23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ht="23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ht="23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ht="23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ht="23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ht="23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ht="23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ht="23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ht="23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ht="23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ht="23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ht="23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ht="23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ht="23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ht="23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ht="23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ht="23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ht="23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ht="23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ht="23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ht="23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ht="23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ht="23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ht="23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ht="23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ht="23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ht="23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ht="23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ht="23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ht="23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ht="23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ht="23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ht="23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ht="23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ht="23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ht="23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ht="23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ht="23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ht="23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ht="23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ht="23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ht="23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ht="23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ht="23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ht="23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ht="23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ht="23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ht="23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ht="23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ht="23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ht="23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ht="23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ht="23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ht="23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ht="23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ht="23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ht="23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ht="23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ht="23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ht="23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ht="23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ht="23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ht="23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ht="23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ht="23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ht="23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ht="23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ht="23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ht="23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ht="23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ht="23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ht="23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ht="23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ht="23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ht="23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ht="23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ht="23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ht="23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ht="23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</row>
  </sheetData>
  <mergeCells count="2">
    <mergeCell ref="E38:G38"/>
    <mergeCell ref="K38:M3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8.0"/>
    <col customWidth="1" min="3" max="3" width="3.0"/>
    <col customWidth="1" min="4" max="4" width="16.13"/>
    <col customWidth="1" min="5" max="5" width="3.0"/>
    <col customWidth="1" min="6" max="6" width="16.13"/>
    <col customWidth="1" min="7" max="7" width="3.0"/>
    <col customWidth="1" min="8" max="8" width="16.13"/>
    <col customWidth="1" min="9" max="9" width="3.0"/>
    <col customWidth="1" min="10" max="10" width="16.13"/>
    <col customWidth="1" min="11" max="11" width="3.0"/>
    <col customWidth="1" min="12" max="12" width="16.13"/>
    <col customWidth="1" min="13" max="13" width="3.0"/>
    <col customWidth="1" min="14" max="14" width="16.13"/>
    <col customWidth="1" min="15" max="15" width="3.0"/>
    <col customWidth="1" min="16" max="16" width="20.0"/>
    <col customWidth="1" min="17" max="30" width="16.13"/>
  </cols>
  <sheetData>
    <row r="1" ht="8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ht="23.25" customHeight="1">
      <c r="A2" s="9"/>
      <c r="B2" s="9"/>
      <c r="C2" s="14"/>
      <c r="D2" s="15" t="s">
        <v>17</v>
      </c>
      <c r="E2" s="14"/>
      <c r="F2" s="15" t="s">
        <v>18</v>
      </c>
      <c r="G2" s="14"/>
      <c r="H2" s="15" t="s">
        <v>19</v>
      </c>
      <c r="I2" s="14"/>
      <c r="J2" s="16" t="s">
        <v>20</v>
      </c>
      <c r="K2" s="14"/>
      <c r="L2" s="16" t="s">
        <v>21</v>
      </c>
      <c r="M2" s="14"/>
      <c r="N2" s="16" t="s">
        <v>22</v>
      </c>
      <c r="O2" s="14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8.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23.25" customHeight="1">
      <c r="A4" s="9"/>
      <c r="B4" s="14" t="s">
        <v>23</v>
      </c>
      <c r="C4" s="9"/>
      <c r="D4" s="15">
        <v>20.0</v>
      </c>
      <c r="E4" s="14"/>
      <c r="F4" s="15">
        <v>263.0</v>
      </c>
      <c r="G4" s="14"/>
      <c r="H4" s="15">
        <v>3044.0</v>
      </c>
      <c r="I4" s="14"/>
      <c r="J4" s="16">
        <v>10604.0</v>
      </c>
      <c r="K4" s="14"/>
      <c r="L4" s="16">
        <v>2053.0</v>
      </c>
      <c r="M4" s="14"/>
      <c r="N4" s="16">
        <v>6621.0</v>
      </c>
      <c r="O4" s="14"/>
      <c r="P4" s="14" t="s">
        <v>23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8.2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23.25" customHeight="1">
      <c r="A6" s="9"/>
      <c r="B6" s="17" t="s">
        <v>10</v>
      </c>
      <c r="C6" s="9"/>
      <c r="D6" s="18" t="str">
        <f t="shared" ref="D6:O6" si="1">INDIRECT("'" &amp; D4 &amp; "'!C4")</f>
        <v>#REF!</v>
      </c>
      <c r="E6" s="9" t="str">
        <f t="shared" si="1"/>
        <v/>
      </c>
      <c r="F6" s="18">
        <f t="shared" si="1"/>
        <v>79.71</v>
      </c>
      <c r="G6" s="9" t="str">
        <f t="shared" si="1"/>
        <v/>
      </c>
      <c r="H6" s="18" t="str">
        <f t="shared" si="1"/>
        <v>#REF!</v>
      </c>
      <c r="I6" s="9" t="str">
        <f t="shared" si="1"/>
        <v/>
      </c>
      <c r="J6" s="19" t="str">
        <f t="shared" si="1"/>
        <v>#REF!</v>
      </c>
      <c r="K6" s="9" t="str">
        <f t="shared" si="1"/>
        <v/>
      </c>
      <c r="L6" s="19" t="str">
        <f t="shared" si="1"/>
        <v>#REF!</v>
      </c>
      <c r="M6" s="9" t="str">
        <f t="shared" si="1"/>
        <v/>
      </c>
      <c r="N6" s="19" t="str">
        <f t="shared" si="1"/>
        <v>#REF!</v>
      </c>
      <c r="O6" s="9" t="str">
        <f t="shared" si="1"/>
        <v/>
      </c>
      <c r="P6" s="17" t="str">
        <f t="shared" ref="P6:P36" si="2">B6</f>
        <v>TOTAL EPA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8.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7" t="str">
        <f t="shared" si="2"/>
        <v/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ht="23.25" customHeight="1">
      <c r="A8" s="9"/>
      <c r="B8" s="17" t="s">
        <v>11</v>
      </c>
      <c r="C8" s="17"/>
      <c r="D8" s="20" t="str">
        <f t="shared" ref="D8:O8" si="3">INDIRECT("'" &amp; D4 &amp; "'!C6")</f>
        <v>#REF!</v>
      </c>
      <c r="E8" s="17" t="str">
        <f t="shared" si="3"/>
        <v/>
      </c>
      <c r="F8" s="20">
        <f t="shared" si="3"/>
        <v>17.33</v>
      </c>
      <c r="G8" s="17" t="str">
        <f t="shared" si="3"/>
        <v/>
      </c>
      <c r="H8" s="20" t="str">
        <f t="shared" si="3"/>
        <v>#REF!</v>
      </c>
      <c r="I8" s="17" t="str">
        <f t="shared" si="3"/>
        <v/>
      </c>
      <c r="J8" s="21" t="str">
        <f t="shared" si="3"/>
        <v>#REF!</v>
      </c>
      <c r="K8" s="17" t="str">
        <f t="shared" si="3"/>
        <v/>
      </c>
      <c r="L8" s="21" t="str">
        <f t="shared" si="3"/>
        <v>#REF!</v>
      </c>
      <c r="M8" s="17" t="str">
        <f t="shared" si="3"/>
        <v/>
      </c>
      <c r="N8" s="21" t="str">
        <f t="shared" si="3"/>
        <v>#REF!</v>
      </c>
      <c r="O8" s="17" t="str">
        <f t="shared" si="3"/>
        <v/>
      </c>
      <c r="P8" s="17" t="str">
        <f t="shared" si="2"/>
        <v>AUTO EPA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ht="8.2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7" t="str">
        <f t="shared" si="2"/>
        <v/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23.25" customHeight="1">
      <c r="A10" s="9"/>
      <c r="B10" s="17" t="s">
        <v>24</v>
      </c>
      <c r="C10" s="9"/>
      <c r="D10" s="20" t="str">
        <f t="shared" ref="D10:O10" si="4">INDIRECT("'" &amp; D4 &amp; "'!C8")</f>
        <v>#REF!</v>
      </c>
      <c r="E10" s="17" t="str">
        <f t="shared" si="4"/>
        <v/>
      </c>
      <c r="F10" s="20">
        <f t="shared" si="4"/>
        <v>41.46</v>
      </c>
      <c r="G10" s="17" t="str">
        <f t="shared" si="4"/>
        <v/>
      </c>
      <c r="H10" s="20" t="str">
        <f t="shared" si="4"/>
        <v>#REF!</v>
      </c>
      <c r="I10" s="17" t="str">
        <f t="shared" si="4"/>
        <v/>
      </c>
      <c r="J10" s="21" t="str">
        <f t="shared" si="4"/>
        <v>#REF!</v>
      </c>
      <c r="K10" s="17" t="str">
        <f t="shared" si="4"/>
        <v/>
      </c>
      <c r="L10" s="21" t="str">
        <f t="shared" si="4"/>
        <v>#REF!</v>
      </c>
      <c r="M10" s="17" t="str">
        <f t="shared" si="4"/>
        <v/>
      </c>
      <c r="N10" s="21" t="str">
        <f t="shared" si="4"/>
        <v>#REF!</v>
      </c>
      <c r="O10" s="17" t="str">
        <f t="shared" si="4"/>
        <v/>
      </c>
      <c r="P10" s="17" t="str">
        <f t="shared" si="2"/>
        <v>TELE-OP EPA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ht="8.2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7" t="str">
        <f t="shared" si="2"/>
        <v/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ht="23.25" customHeight="1">
      <c r="A12" s="9"/>
      <c r="B12" s="17" t="s">
        <v>25</v>
      </c>
      <c r="C12" s="17"/>
      <c r="D12" s="20" t="str">
        <f t="shared" ref="D12:O12" si="5">INDIRECT("'" &amp; D4 &amp; "'!C10")</f>
        <v>#REF!</v>
      </c>
      <c r="E12" s="17" t="str">
        <f t="shared" si="5"/>
        <v/>
      </c>
      <c r="F12" s="20">
        <f t="shared" si="5"/>
        <v>20.92</v>
      </c>
      <c r="G12" s="17" t="str">
        <f t="shared" si="5"/>
        <v/>
      </c>
      <c r="H12" s="20" t="str">
        <f t="shared" si="5"/>
        <v>#REF!</v>
      </c>
      <c r="I12" s="17" t="str">
        <f t="shared" si="5"/>
        <v/>
      </c>
      <c r="J12" s="21" t="str">
        <f t="shared" si="5"/>
        <v>#REF!</v>
      </c>
      <c r="K12" s="17" t="str">
        <f t="shared" si="5"/>
        <v/>
      </c>
      <c r="L12" s="21" t="str">
        <f t="shared" si="5"/>
        <v>#REF!</v>
      </c>
      <c r="M12" s="17" t="str">
        <f t="shared" si="5"/>
        <v/>
      </c>
      <c r="N12" s="21" t="str">
        <f t="shared" si="5"/>
        <v>#REF!</v>
      </c>
      <c r="O12" s="17" t="str">
        <f t="shared" si="5"/>
        <v/>
      </c>
      <c r="P12" s="17" t="str">
        <f t="shared" si="2"/>
        <v>ENDGAME EPA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ht="8.2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7" t="str">
        <f t="shared" si="2"/>
        <v/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23.25" customHeight="1">
      <c r="A14" s="9"/>
      <c r="B14" s="17" t="s">
        <v>26</v>
      </c>
      <c r="C14" s="9"/>
      <c r="D14" s="18" t="str">
        <f t="array" ref="D14">INDIRECT("'" &amp; D4 &amp; "'!J12")</f>
        <v>#REF!</v>
      </c>
      <c r="E14" s="9"/>
      <c r="F14" s="18" t="str">
        <f t="array" ref="F14">INDIRECT("'" &amp; F4 &amp; "'!J12")</f>
        <v/>
      </c>
      <c r="G14" s="9"/>
      <c r="H14" s="18" t="str">
        <f t="array" ref="H14">INDIRECT("'" &amp; H4 &amp; "'!J12")</f>
        <v>#REF!</v>
      </c>
      <c r="I14" s="9"/>
      <c r="J14" s="19" t="str">
        <f t="array" ref="J14">INDIRECT("'" &amp; J4 &amp; "'!J12")</f>
        <v>#REF!</v>
      </c>
      <c r="K14" s="9"/>
      <c r="L14" s="19" t="str">
        <f t="array" ref="L14">INDIRECT("'" &amp; L4 &amp; "'!J12")</f>
        <v>#REF!</v>
      </c>
      <c r="M14" s="9"/>
      <c r="N14" s="19" t="str">
        <f t="array" ref="N14">INDIRECT("'" &amp; N4 &amp; "'!J12")</f>
        <v>#REF!</v>
      </c>
      <c r="O14" s="9"/>
      <c r="P14" s="17" t="str">
        <f t="shared" si="2"/>
        <v>TRENCH?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8.2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7" t="str">
        <f t="shared" si="2"/>
        <v/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23.25" customHeight="1">
      <c r="A16" s="9"/>
      <c r="B16" s="17" t="s">
        <v>27</v>
      </c>
      <c r="C16" s="17"/>
      <c r="D16" s="20" t="str">
        <f t="shared" ref="D16:O16" si="6">INDIRECT("'" &amp; D4 &amp; "'!J5")</f>
        <v>#REF!</v>
      </c>
      <c r="E16" s="17" t="str">
        <f t="shared" si="6"/>
        <v/>
      </c>
      <c r="F16" s="20" t="str">
        <f t="shared" si="6"/>
        <v/>
      </c>
      <c r="G16" s="17" t="str">
        <f t="shared" si="6"/>
        <v/>
      </c>
      <c r="H16" s="20" t="str">
        <f t="shared" si="6"/>
        <v>#REF!</v>
      </c>
      <c r="I16" s="17" t="str">
        <f t="shared" si="6"/>
        <v/>
      </c>
      <c r="J16" s="21" t="str">
        <f t="shared" si="6"/>
        <v>#REF!</v>
      </c>
      <c r="K16" s="17" t="str">
        <f t="shared" si="6"/>
        <v/>
      </c>
      <c r="L16" s="21" t="str">
        <f t="shared" si="6"/>
        <v>#REF!</v>
      </c>
      <c r="M16" s="17" t="str">
        <f t="shared" si="6"/>
        <v/>
      </c>
      <c r="N16" s="21" t="str">
        <f t="shared" si="6"/>
        <v>#REF!</v>
      </c>
      <c r="O16" s="17" t="str">
        <f t="shared" si="6"/>
        <v/>
      </c>
      <c r="P16" s="17" t="str">
        <f t="shared" si="2"/>
        <v>DRIVE BASE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8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7" t="str">
        <f t="shared" si="2"/>
        <v/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23.25" customHeight="1">
      <c r="A18" s="9"/>
      <c r="B18" s="17" t="s">
        <v>28</v>
      </c>
      <c r="C18" s="9"/>
      <c r="D18" s="20" t="str">
        <f t="shared" ref="D18:O18" si="7">INDIRECT("'" &amp; D4 &amp; "'!M12")</f>
        <v>#REF!</v>
      </c>
      <c r="E18" s="17" t="str">
        <f t="shared" si="7"/>
        <v/>
      </c>
      <c r="F18" s="20" t="str">
        <f t="shared" si="7"/>
        <v/>
      </c>
      <c r="G18" s="17" t="str">
        <f t="shared" si="7"/>
        <v/>
      </c>
      <c r="H18" s="20" t="str">
        <f t="shared" si="7"/>
        <v>#REF!</v>
      </c>
      <c r="I18" s="17" t="str">
        <f t="shared" si="7"/>
        <v/>
      </c>
      <c r="J18" s="21" t="str">
        <f t="shared" si="7"/>
        <v>#REF!</v>
      </c>
      <c r="K18" s="17" t="str">
        <f t="shared" si="7"/>
        <v/>
      </c>
      <c r="L18" s="21" t="str">
        <f t="shared" si="7"/>
        <v>#REF!</v>
      </c>
      <c r="M18" s="17" t="str">
        <f t="shared" si="7"/>
        <v/>
      </c>
      <c r="N18" s="21" t="str">
        <f t="shared" si="7"/>
        <v>#REF!</v>
      </c>
      <c r="O18" s="17" t="str">
        <f t="shared" si="7"/>
        <v/>
      </c>
      <c r="P18" s="17" t="str">
        <f t="shared" si="2"/>
        <v>SHOOTER STYLE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8.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7" t="str">
        <f t="shared" si="2"/>
        <v/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ht="23.25" customHeight="1">
      <c r="A20" s="9"/>
      <c r="B20" s="17" t="s">
        <v>29</v>
      </c>
      <c r="C20" s="9"/>
      <c r="D20" s="18" t="str">
        <f t="shared" ref="D20:O20" si="8">INDIRECT("'" &amp; D4 &amp; "'!M13")</f>
        <v>#REF!</v>
      </c>
      <c r="E20" s="9" t="str">
        <f t="shared" si="8"/>
        <v/>
      </c>
      <c r="F20" s="18" t="str">
        <f t="shared" si="8"/>
        <v/>
      </c>
      <c r="G20" s="9" t="str">
        <f t="shared" si="8"/>
        <v/>
      </c>
      <c r="H20" s="18" t="str">
        <f t="shared" si="8"/>
        <v>#REF!</v>
      </c>
      <c r="I20" s="9" t="str">
        <f t="shared" si="8"/>
        <v/>
      </c>
      <c r="J20" s="19" t="str">
        <f t="shared" si="8"/>
        <v>#REF!</v>
      </c>
      <c r="K20" s="9" t="str">
        <f t="shared" si="8"/>
        <v/>
      </c>
      <c r="L20" s="19" t="str">
        <f t="shared" si="8"/>
        <v>#REF!</v>
      </c>
      <c r="M20" s="9" t="str">
        <f t="shared" si="8"/>
        <v/>
      </c>
      <c r="N20" s="19" t="str">
        <f t="shared" si="8"/>
        <v>#REF!</v>
      </c>
      <c r="O20" s="9" t="str">
        <f t="shared" si="8"/>
        <v/>
      </c>
      <c r="P20" s="17" t="str">
        <f t="shared" si="2"/>
        <v># OF LANES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8.2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7" t="str">
        <f t="shared" si="2"/>
        <v/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23.25" customHeight="1">
      <c r="A22" s="9"/>
      <c r="B22" s="14" t="s">
        <v>30</v>
      </c>
      <c r="C22" s="9"/>
      <c r="D22" s="18" t="str">
        <f t="shared" ref="D22:H22" si="9">INDIRECT("'" &amp; D4 &amp; "'!J17")</f>
        <v>#REF!</v>
      </c>
      <c r="E22" s="9" t="str">
        <f t="shared" si="9"/>
        <v/>
      </c>
      <c r="F22" s="18" t="str">
        <f t="shared" si="9"/>
        <v/>
      </c>
      <c r="G22" s="9" t="str">
        <f t="shared" si="9"/>
        <v/>
      </c>
      <c r="H22" s="18" t="str">
        <f t="shared" si="9"/>
        <v>#REF!</v>
      </c>
      <c r="I22" s="9"/>
      <c r="J22" s="19" t="str">
        <f t="shared" ref="J22:N22" si="10">INDIRECT("'" &amp; J4 &amp; "'!J17")</f>
        <v>#REF!</v>
      </c>
      <c r="K22" s="9" t="str">
        <f t="shared" si="10"/>
        <v/>
      </c>
      <c r="L22" s="19" t="str">
        <f t="shared" si="10"/>
        <v>#REF!</v>
      </c>
      <c r="M22" s="9" t="str">
        <f t="shared" si="10"/>
        <v/>
      </c>
      <c r="N22" s="19" t="str">
        <f t="shared" si="10"/>
        <v>#REF!</v>
      </c>
      <c r="O22" s="9"/>
      <c r="P22" s="17" t="str">
        <f t="shared" si="2"/>
        <v>HOPPER CAPACITY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8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7" t="str">
        <f t="shared" si="2"/>
        <v/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23.25" customHeight="1">
      <c r="A24" s="9"/>
      <c r="B24" s="17" t="s">
        <v>31</v>
      </c>
      <c r="C24" s="9"/>
      <c r="D24" s="18" t="str">
        <f t="shared" ref="D24:O24" si="11">INDIRECT("'" &amp; D4 &amp; "'!M21")</f>
        <v>#REF!</v>
      </c>
      <c r="E24" s="9" t="str">
        <f t="shared" si="11"/>
        <v/>
      </c>
      <c r="F24" s="18" t="str">
        <f t="shared" si="11"/>
        <v/>
      </c>
      <c r="G24" s="9" t="str">
        <f t="shared" si="11"/>
        <v/>
      </c>
      <c r="H24" s="18" t="str">
        <f t="shared" si="11"/>
        <v>#REF!</v>
      </c>
      <c r="I24" s="9" t="str">
        <f t="shared" si="11"/>
        <v/>
      </c>
      <c r="J24" s="19" t="str">
        <f t="shared" si="11"/>
        <v>#REF!</v>
      </c>
      <c r="K24" s="9" t="str">
        <f t="shared" si="11"/>
        <v/>
      </c>
      <c r="L24" s="19" t="str">
        <f t="shared" si="11"/>
        <v>#REF!</v>
      </c>
      <c r="M24" s="9" t="str">
        <f t="shared" si="11"/>
        <v/>
      </c>
      <c r="N24" s="19" t="str">
        <f t="shared" si="11"/>
        <v>#REF!</v>
      </c>
      <c r="O24" s="9" t="str">
        <f t="shared" si="11"/>
        <v/>
      </c>
      <c r="P24" s="17" t="str">
        <f t="shared" si="2"/>
        <v>SHOOT PRELOAD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8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7" t="str">
        <f t="shared" si="2"/>
        <v/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23.25" customHeight="1">
      <c r="A26" s="9"/>
      <c r="B26" s="17" t="s">
        <v>32</v>
      </c>
      <c r="C26" s="9"/>
      <c r="D26" s="18" t="str">
        <f t="shared" ref="D26:O26" si="12">INDIRECT("'" &amp; D4 &amp; "'!M22")</f>
        <v>#REF!</v>
      </c>
      <c r="E26" s="9" t="str">
        <f t="shared" si="12"/>
        <v/>
      </c>
      <c r="F26" s="18" t="str">
        <f t="shared" si="12"/>
        <v/>
      </c>
      <c r="G26" s="9" t="str">
        <f t="shared" si="12"/>
        <v/>
      </c>
      <c r="H26" s="18" t="str">
        <f t="shared" si="12"/>
        <v>#REF!</v>
      </c>
      <c r="I26" s="9" t="str">
        <f t="shared" si="12"/>
        <v/>
      </c>
      <c r="J26" s="19" t="str">
        <f t="shared" si="12"/>
        <v>#REF!</v>
      </c>
      <c r="K26" s="9" t="str">
        <f t="shared" si="12"/>
        <v/>
      </c>
      <c r="L26" s="19" t="str">
        <f t="shared" si="12"/>
        <v>#REF!</v>
      </c>
      <c r="M26" s="9" t="str">
        <f t="shared" si="12"/>
        <v/>
      </c>
      <c r="N26" s="19" t="str">
        <f t="shared" si="12"/>
        <v>#REF!</v>
      </c>
      <c r="O26" s="9" t="str">
        <f t="shared" si="12"/>
        <v/>
      </c>
      <c r="P26" s="17" t="str">
        <f t="shared" si="2"/>
        <v>CENTER AUTO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8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7" t="str">
        <f t="shared" si="2"/>
        <v/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23.25" customHeight="1">
      <c r="A28" s="9"/>
      <c r="B28" s="17" t="s">
        <v>33</v>
      </c>
      <c r="C28" s="9"/>
      <c r="D28" s="18" t="str">
        <f t="shared" ref="D28:O28" si="13">INDIRECT("'" &amp; D4 &amp; "'!M23")</f>
        <v>#REF!</v>
      </c>
      <c r="E28" s="9" t="str">
        <f t="shared" si="13"/>
        <v/>
      </c>
      <c r="F28" s="18" t="str">
        <f t="shared" si="13"/>
        <v/>
      </c>
      <c r="G28" s="9" t="str">
        <f t="shared" si="13"/>
        <v/>
      </c>
      <c r="H28" s="18" t="str">
        <f t="shared" si="13"/>
        <v>#REF!</v>
      </c>
      <c r="I28" s="9" t="str">
        <f t="shared" si="13"/>
        <v/>
      </c>
      <c r="J28" s="19" t="str">
        <f t="shared" si="13"/>
        <v>#REF!</v>
      </c>
      <c r="K28" s="9" t="str">
        <f t="shared" si="13"/>
        <v/>
      </c>
      <c r="L28" s="19" t="str">
        <f t="shared" si="13"/>
        <v>#REF!</v>
      </c>
      <c r="M28" s="9" t="str">
        <f t="shared" si="13"/>
        <v/>
      </c>
      <c r="N28" s="19" t="str">
        <f t="shared" si="13"/>
        <v>#REF!</v>
      </c>
      <c r="O28" s="9" t="str">
        <f t="shared" si="13"/>
        <v/>
      </c>
      <c r="P28" s="17" t="str">
        <f t="shared" si="2"/>
        <v># OF SWEEPS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8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7" t="str">
        <f t="shared" si="2"/>
        <v/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23.25" customHeight="1">
      <c r="A30" s="9"/>
      <c r="B30" s="17" t="s">
        <v>34</v>
      </c>
      <c r="C30" s="9"/>
      <c r="D30" s="18" t="str">
        <f t="shared" ref="D30:O30" si="14">INDIRECT("'" &amp; D4 &amp; "'!M24")</f>
        <v>#REF!</v>
      </c>
      <c r="E30" s="9" t="str">
        <f t="shared" si="14"/>
        <v/>
      </c>
      <c r="F30" s="18" t="str">
        <f t="shared" si="14"/>
        <v/>
      </c>
      <c r="G30" s="9" t="str">
        <f t="shared" si="14"/>
        <v/>
      </c>
      <c r="H30" s="18" t="str">
        <f t="shared" si="14"/>
        <v>#REF!</v>
      </c>
      <c r="I30" s="9" t="str">
        <f t="shared" si="14"/>
        <v/>
      </c>
      <c r="J30" s="19" t="str">
        <f t="shared" si="14"/>
        <v>#REF!</v>
      </c>
      <c r="K30" s="9" t="str">
        <f t="shared" si="14"/>
        <v/>
      </c>
      <c r="L30" s="19" t="str">
        <f t="shared" si="14"/>
        <v>#REF!</v>
      </c>
      <c r="M30" s="9" t="str">
        <f t="shared" si="14"/>
        <v/>
      </c>
      <c r="N30" s="19" t="str">
        <f t="shared" si="14"/>
        <v>#REF!</v>
      </c>
      <c r="O30" s="9" t="str">
        <f t="shared" si="14"/>
        <v/>
      </c>
      <c r="P30" s="17" t="str">
        <f t="shared" si="2"/>
        <v>DEPOT AUTO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8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7" t="str">
        <f t="shared" si="2"/>
        <v/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23.25" customHeight="1">
      <c r="A32" s="9"/>
      <c r="B32" s="17" t="s">
        <v>35</v>
      </c>
      <c r="C32" s="9"/>
      <c r="D32" s="18" t="str">
        <f t="shared" ref="D32:O32" si="15">INDIRECT("'" &amp; D4 &amp; "'!M25")</f>
        <v>#REF!</v>
      </c>
      <c r="E32" s="9" t="str">
        <f t="shared" si="15"/>
        <v/>
      </c>
      <c r="F32" s="18" t="str">
        <f t="shared" si="15"/>
        <v/>
      </c>
      <c r="G32" s="9" t="str">
        <f t="shared" si="15"/>
        <v/>
      </c>
      <c r="H32" s="18" t="str">
        <f t="shared" si="15"/>
        <v>#REF!</v>
      </c>
      <c r="I32" s="9" t="str">
        <f t="shared" si="15"/>
        <v/>
      </c>
      <c r="J32" s="19" t="str">
        <f t="shared" si="15"/>
        <v>#REF!</v>
      </c>
      <c r="K32" s="9" t="str">
        <f t="shared" si="15"/>
        <v/>
      </c>
      <c r="L32" s="19" t="str">
        <f t="shared" si="15"/>
        <v>#REF!</v>
      </c>
      <c r="M32" s="9" t="str">
        <f t="shared" si="15"/>
        <v/>
      </c>
      <c r="N32" s="19" t="str">
        <f t="shared" si="15"/>
        <v>#REF!</v>
      </c>
      <c r="O32" s="9" t="str">
        <f t="shared" si="15"/>
        <v/>
      </c>
      <c r="P32" s="17" t="str">
        <f t="shared" si="2"/>
        <v>OUTPOST AUTO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0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7" t="str">
        <f t="shared" si="2"/>
        <v/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23.25" customHeight="1">
      <c r="A34" s="9"/>
      <c r="B34" s="17" t="s">
        <v>36</v>
      </c>
      <c r="C34" s="9"/>
      <c r="D34" s="18" t="str">
        <f t="shared" ref="D34:O34" si="16">INDIRECT("'" &amp; D4 &amp; "'!G5")</f>
        <v>#REF!</v>
      </c>
      <c r="E34" s="9" t="str">
        <f t="shared" si="16"/>
        <v/>
      </c>
      <c r="F34" s="18" t="str">
        <f t="shared" si="16"/>
        <v>SWERVE</v>
      </c>
      <c r="G34" s="9" t="str">
        <f t="shared" si="16"/>
        <v/>
      </c>
      <c r="H34" s="18" t="str">
        <f t="shared" si="16"/>
        <v>#REF!</v>
      </c>
      <c r="I34" s="9" t="str">
        <f t="shared" si="16"/>
        <v/>
      </c>
      <c r="J34" s="19" t="str">
        <f t="shared" si="16"/>
        <v>#REF!</v>
      </c>
      <c r="K34" s="9" t="str">
        <f t="shared" si="16"/>
        <v/>
      </c>
      <c r="L34" s="19" t="str">
        <f t="shared" si="16"/>
        <v>#REF!</v>
      </c>
      <c r="M34" s="9" t="str">
        <f t="shared" si="16"/>
        <v/>
      </c>
      <c r="N34" s="19" t="str">
        <f t="shared" si="16"/>
        <v>#REF!</v>
      </c>
      <c r="O34" s="9" t="str">
        <f t="shared" si="16"/>
        <v/>
      </c>
      <c r="P34" s="17" t="str">
        <f t="shared" si="2"/>
        <v>ROBOT WEIGHT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9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tr">
        <f t="shared" si="2"/>
        <v/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23.25" customHeight="1">
      <c r="A36" s="9"/>
      <c r="B36" s="9" t="s">
        <v>23</v>
      </c>
      <c r="C36" s="9"/>
      <c r="D36" s="18">
        <f t="shared" ref="D36:N36" si="17">D4</f>
        <v>20</v>
      </c>
      <c r="E36" s="9" t="str">
        <f t="shared" si="17"/>
        <v/>
      </c>
      <c r="F36" s="18">
        <f t="shared" si="17"/>
        <v>263</v>
      </c>
      <c r="G36" s="9" t="str">
        <f t="shared" si="17"/>
        <v/>
      </c>
      <c r="H36" s="18">
        <f t="shared" si="17"/>
        <v>3044</v>
      </c>
      <c r="I36" s="9" t="str">
        <f t="shared" si="17"/>
        <v/>
      </c>
      <c r="J36" s="19">
        <f t="shared" si="17"/>
        <v>10604</v>
      </c>
      <c r="K36" s="9" t="str">
        <f t="shared" si="17"/>
        <v/>
      </c>
      <c r="L36" s="19">
        <f t="shared" si="17"/>
        <v>2053</v>
      </c>
      <c r="M36" s="9" t="str">
        <f t="shared" si="17"/>
        <v/>
      </c>
      <c r="N36" s="19">
        <f t="shared" si="17"/>
        <v>6621</v>
      </c>
      <c r="O36" s="9"/>
      <c r="P36" s="9" t="str">
        <f t="shared" si="2"/>
        <v>TEAM NUMBER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23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23.25" customHeight="1">
      <c r="A38" s="9"/>
      <c r="B38" s="9"/>
      <c r="C38" s="9"/>
      <c r="D38" s="9"/>
      <c r="E38" s="18" t="s">
        <v>37</v>
      </c>
      <c r="H38" s="22" t="str">
        <f>SUM(D6:H6)</f>
        <v>#REF!</v>
      </c>
      <c r="I38" s="9"/>
      <c r="J38" s="19" t="str">
        <f>SUM(J6:N6)</f>
        <v>#REF!</v>
      </c>
      <c r="K38" s="19" t="s">
        <v>37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23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23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23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23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23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23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23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23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23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23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23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23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23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23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23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23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23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23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23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23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23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23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23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23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23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23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23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23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23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23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23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23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23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23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23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23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23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23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23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23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23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23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23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23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23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23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23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23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23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23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23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23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23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23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23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23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23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23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23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23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23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23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23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23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23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23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23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23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23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23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23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23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23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23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23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23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23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23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23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23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23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23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23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23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23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23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23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23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23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23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23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23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23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23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23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23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23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23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23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23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23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23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23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23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23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23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23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23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23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23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ht="23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ht="23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ht="23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ht="23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ht="23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ht="23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23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23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23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23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23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23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23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23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23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23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23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23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23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23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23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23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23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23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23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23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23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23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23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23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23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23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ht="23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23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ht="23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ht="23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ht="23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ht="23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ht="23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ht="23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23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ht="23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ht="23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ht="23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ht="23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ht="23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ht="23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ht="23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ht="23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ht="23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ht="23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ht="23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ht="23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ht="23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ht="23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23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ht="23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ht="23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ht="23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ht="23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ht="23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ht="23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ht="23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23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23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23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23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23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23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23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23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23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23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23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23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23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23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23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23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23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23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23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23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23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23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23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23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23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23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23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ht="23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ht="23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ht="23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ht="23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ht="23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23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ht="23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ht="23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ht="23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23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ht="23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ht="23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ht="23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ht="23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ht="23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ht="23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ht="23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ht="23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ht="23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ht="23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23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ht="23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ht="23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ht="23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ht="23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ht="23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ht="23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ht="23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ht="23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ht="23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ht="23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ht="23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ht="23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ht="23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ht="23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ht="23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ht="23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ht="23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ht="23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ht="23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ht="23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ht="23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ht="23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ht="23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ht="23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ht="23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ht="23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ht="23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ht="23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ht="23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ht="23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ht="23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ht="23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ht="23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23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23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ht="23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ht="23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ht="23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ht="23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ht="23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ht="23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ht="23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ht="23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ht="23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ht="23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ht="23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ht="23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ht="23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ht="23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ht="23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ht="23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ht="23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ht="23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ht="23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ht="23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ht="23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ht="23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ht="23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ht="23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ht="23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ht="23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ht="23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ht="23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ht="23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ht="23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ht="23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ht="23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ht="23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ht="23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ht="23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ht="23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ht="23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ht="23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ht="23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ht="23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ht="23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ht="23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ht="23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ht="23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ht="23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ht="23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ht="23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ht="23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ht="23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ht="23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ht="23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23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23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23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23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ht="23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ht="23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ht="23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ht="23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23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23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23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23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23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ht="23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ht="23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ht="23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ht="23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ht="23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ht="23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ht="23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ht="23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ht="23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ht="23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ht="23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ht="23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ht="23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ht="23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23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23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ht="23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ht="23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ht="23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ht="23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23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23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ht="23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ht="23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ht="23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ht="23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ht="23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ht="23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ht="23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ht="23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ht="23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23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23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ht="23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ht="23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ht="23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ht="23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ht="23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ht="23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ht="23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ht="23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23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23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ht="23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ht="23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ht="23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ht="23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ht="23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ht="23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ht="23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ht="23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ht="23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ht="23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ht="23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ht="23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ht="23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ht="23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ht="23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ht="23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ht="23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ht="23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ht="23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ht="23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ht="23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ht="23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ht="23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ht="23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ht="23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ht="23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ht="23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ht="23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ht="23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ht="23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ht="23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ht="23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ht="23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ht="23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ht="23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ht="23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ht="23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ht="23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ht="23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ht="23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ht="23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ht="23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ht="23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ht="23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ht="23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ht="23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ht="23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ht="23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ht="23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ht="23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ht="23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ht="23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ht="23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ht="23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ht="23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ht="23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ht="23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ht="23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ht="23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ht="23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ht="23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ht="23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ht="23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ht="23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ht="23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ht="23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ht="23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ht="23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ht="23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ht="23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ht="23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ht="23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ht="23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ht="23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ht="23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ht="23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ht="23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ht="23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ht="23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ht="23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ht="23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ht="23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ht="23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ht="23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ht="23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</row>
  </sheetData>
  <mergeCells count="2">
    <mergeCell ref="E38:G38"/>
    <mergeCell ref="K38:M3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5" max="5" width="12.13"/>
    <col customWidth="1" min="6" max="6" width="15.0"/>
    <col customWidth="1" min="7" max="7" width="14.13"/>
    <col customWidth="1" min="8" max="8" width="21.25"/>
    <col customWidth="1" min="14" max="14" width="13.88"/>
    <col customWidth="1" min="16" max="16" width="17.13"/>
  </cols>
  <sheetData>
    <row r="1" ht="7.5" customHeight="1">
      <c r="A1" s="6"/>
      <c r="B1" s="7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2">
        <v>1.0</v>
      </c>
      <c r="B3" s="9"/>
      <c r="C3" s="23" t="s">
        <v>38</v>
      </c>
      <c r="D3" s="24"/>
      <c r="E3" s="24"/>
      <c r="F3" s="24"/>
      <c r="G3" s="24"/>
      <c r="H3" s="24"/>
      <c r="I3" s="25"/>
      <c r="J3" s="6"/>
      <c r="K3" s="23" t="s">
        <v>39</v>
      </c>
      <c r="L3" s="24"/>
      <c r="M3" s="24"/>
      <c r="N3" s="24"/>
      <c r="O3" s="24"/>
      <c r="P3" s="24"/>
      <c r="Q3" s="25"/>
      <c r="R3" s="6"/>
      <c r="S3" s="6"/>
      <c r="T3" s="6"/>
      <c r="U3" s="6"/>
      <c r="V3" s="6"/>
      <c r="W3" s="6"/>
      <c r="X3" s="6"/>
      <c r="Y3" s="6"/>
      <c r="Z3" s="6"/>
    </row>
    <row r="4">
      <c r="A4" s="12">
        <v>2.0</v>
      </c>
      <c r="B4" s="9"/>
      <c r="C4" s="26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27" t="s">
        <v>15</v>
      </c>
      <c r="J4" s="6"/>
      <c r="K4" s="26" t="s">
        <v>9</v>
      </c>
      <c r="L4" s="8" t="s">
        <v>10</v>
      </c>
      <c r="M4" s="8" t="s">
        <v>11</v>
      </c>
      <c r="N4" s="8" t="s">
        <v>12</v>
      </c>
      <c r="O4" s="8" t="s">
        <v>13</v>
      </c>
      <c r="P4" s="8" t="s">
        <v>14</v>
      </c>
      <c r="Q4" s="27" t="s">
        <v>15</v>
      </c>
      <c r="R4" s="6"/>
      <c r="S4" s="6"/>
      <c r="T4" s="6"/>
      <c r="U4" s="6"/>
      <c r="V4" s="6"/>
      <c r="W4" s="6"/>
      <c r="X4" s="6"/>
      <c r="Y4" s="6"/>
      <c r="Z4" s="6"/>
    </row>
    <row r="5">
      <c r="A5" s="12">
        <v>3.0</v>
      </c>
      <c r="B5" s="9"/>
      <c r="C5" s="28"/>
      <c r="D5" s="9" t="str">
        <f t="array" ref="D5">IFERROR(INDEX(Data!$B:$B, MATCH(C5, Data!$A:$A, 0)), "")</f>
        <v/>
      </c>
      <c r="E5" s="9" t="str">
        <f t="array" ref="E5">IFERROR(INDEX(Data!C:C, MATCH($C5, Data!$A:$A, 0)), "")</f>
        <v/>
      </c>
      <c r="F5" s="9" t="str">
        <f t="array" ref="F5">IFERROR(INDEX(Data!D:D, MATCH($C5, Data!$A:$A, 0)), "")</f>
        <v/>
      </c>
      <c r="G5" s="9" t="str">
        <f t="array" ref="G5">IFERROR(INDEX(Data!E:E, MATCH($C5, Data!$A:$A, 0)), "")</f>
        <v/>
      </c>
      <c r="H5" s="9" t="str">
        <f t="shared" ref="H5:H7" si="1">INDIRECT("'"&amp;C5&amp;"'!M12")</f>
        <v>AUTO EPA</v>
      </c>
      <c r="I5" s="29" t="str">
        <f t="shared" ref="I5:I7" si="2">INDIRECT("'"&amp;C5&amp;"'!j12")</f>
        <v/>
      </c>
      <c r="J5" s="6"/>
      <c r="K5" s="28"/>
      <c r="L5" s="9" t="str">
        <f t="array" ref="L5">IFERROR(INDEX(Data!$B:$B, MATCH(K5, Data!$A:$A, 0)), "")</f>
        <v/>
      </c>
      <c r="M5" s="9" t="str">
        <f t="array" ref="M5">IFERROR(INDEX(Data!K:K, MATCH($C5, Data!$A:$A, 0)), "")</f>
        <v/>
      </c>
      <c r="N5" s="9" t="str">
        <f t="array" ref="N5">IFERROR(INDEX(Data!L:L, MATCH($C5, Data!$A:$A, 0)), "")</f>
        <v/>
      </c>
      <c r="O5" s="9" t="str">
        <f t="array" ref="O5">IFERROR(INDEX(Data!M:M, MATCH($C5, Data!$A:$A, 0)), "")</f>
        <v/>
      </c>
      <c r="P5" s="9" t="str">
        <f t="shared" ref="P5:P7" si="3">INDIRECT("'"&amp;K5&amp;"'!M12")</f>
        <v>AUTO EPA</v>
      </c>
      <c r="Q5" s="29" t="str">
        <f t="shared" ref="Q5:Q7" si="4">INDIRECT("'"&amp;K5&amp;"'!j12")</f>
        <v/>
      </c>
      <c r="R5" s="6"/>
      <c r="S5" s="6"/>
      <c r="T5" s="6"/>
      <c r="U5" s="6"/>
      <c r="V5" s="6"/>
      <c r="W5" s="6"/>
      <c r="X5" s="6"/>
      <c r="Y5" s="6"/>
      <c r="Z5" s="6"/>
    </row>
    <row r="6">
      <c r="A6" s="12">
        <v>4.0</v>
      </c>
      <c r="B6" s="9"/>
      <c r="C6" s="28"/>
      <c r="D6" s="9" t="str">
        <f t="array" ref="D6">IFERROR(INDEX(Data!$B:$B, MATCH(C6, Data!$A:$A, 0)), "")</f>
        <v/>
      </c>
      <c r="E6" s="9" t="str">
        <f t="array" ref="E6">IFERROR(INDEX(Data!C:C, MATCH($C6, Data!$A:$A, 0)), "")</f>
        <v/>
      </c>
      <c r="F6" s="9" t="str">
        <f t="array" ref="F6">IFERROR(INDEX(Data!D:D, MATCH($C6, Data!$A:$A, 0)), "")</f>
        <v/>
      </c>
      <c r="G6" s="9" t="str">
        <f t="array" ref="G6">IFERROR(INDEX(Data!E:E, MATCH($C6, Data!$A:$A, 0)), "")</f>
        <v/>
      </c>
      <c r="H6" s="9" t="str">
        <f t="shared" si="1"/>
        <v>AUTO EPA</v>
      </c>
      <c r="I6" s="29" t="str">
        <f t="shared" si="2"/>
        <v/>
      </c>
      <c r="J6" s="6"/>
      <c r="K6" s="28"/>
      <c r="L6" s="9" t="str">
        <f t="array" ref="L6">IFERROR(INDEX(Data!$B:$B, MATCH(K6, Data!$A:$A, 0)), "")</f>
        <v/>
      </c>
      <c r="M6" s="9" t="str">
        <f t="array" ref="M6">IFERROR(INDEX(Data!K:K, MATCH($C6, Data!$A:$A, 0)), "")</f>
        <v/>
      </c>
      <c r="N6" s="9" t="str">
        <f t="array" ref="N6">IFERROR(INDEX(Data!L:L, MATCH($C6, Data!$A:$A, 0)), "")</f>
        <v/>
      </c>
      <c r="O6" s="9" t="str">
        <f t="array" ref="O6">IFERROR(INDEX(Data!M:M, MATCH($C6, Data!$A:$A, 0)), "")</f>
        <v/>
      </c>
      <c r="P6" s="9" t="str">
        <f t="shared" si="3"/>
        <v>AUTO EPA</v>
      </c>
      <c r="Q6" s="29" t="str">
        <f t="shared" si="4"/>
        <v/>
      </c>
      <c r="R6" s="6"/>
      <c r="S6" s="6"/>
      <c r="T6" s="6"/>
      <c r="U6" s="6"/>
      <c r="V6" s="6"/>
      <c r="W6" s="6"/>
      <c r="X6" s="6"/>
      <c r="Y6" s="6"/>
      <c r="Z6" s="6"/>
    </row>
    <row r="7">
      <c r="A7" s="12">
        <v>5.0</v>
      </c>
      <c r="B7" s="9"/>
      <c r="C7" s="28"/>
      <c r="D7" s="9" t="str">
        <f t="array" ref="D7">IFERROR(INDEX(Data!$B:$B, MATCH(C7, Data!$A:$A, 0)), "")</f>
        <v/>
      </c>
      <c r="E7" s="9" t="str">
        <f t="array" ref="E7">IFERROR(INDEX(Data!C:C, MATCH($C7, Data!$A:$A, 0)), "")</f>
        <v/>
      </c>
      <c r="F7" s="9" t="str">
        <f t="array" ref="F7">IFERROR(INDEX(Data!D:D, MATCH($C7, Data!$A:$A, 0)), "")</f>
        <v/>
      </c>
      <c r="G7" s="9" t="str">
        <f t="array" ref="G7">IFERROR(INDEX(Data!E:E, MATCH($C7, Data!$A:$A, 0)), "")</f>
        <v/>
      </c>
      <c r="H7" s="9" t="str">
        <f t="shared" si="1"/>
        <v>AUTO EPA</v>
      </c>
      <c r="I7" s="29" t="str">
        <f t="shared" si="2"/>
        <v/>
      </c>
      <c r="J7" s="6"/>
      <c r="K7" s="28"/>
      <c r="L7" s="9" t="str">
        <f t="array" ref="L7">IFERROR(INDEX(Data!$B:$B, MATCH(K7, Data!$A:$A, 0)), "")</f>
        <v/>
      </c>
      <c r="M7" s="9" t="str">
        <f t="array" ref="M7">IFERROR(INDEX(Data!K:K, MATCH($C7, Data!$A:$A, 0)), "")</f>
        <v/>
      </c>
      <c r="N7" s="9" t="str">
        <f t="array" ref="N7">IFERROR(INDEX(Data!L:L, MATCH($C7, Data!$A:$A, 0)), "")</f>
        <v/>
      </c>
      <c r="O7" s="9" t="str">
        <f t="array" ref="O7">IFERROR(INDEX(Data!M:M, MATCH($C7, Data!$A:$A, 0)), "")</f>
        <v/>
      </c>
      <c r="P7" s="9" t="str">
        <f t="shared" si="3"/>
        <v>AUTO EPA</v>
      </c>
      <c r="Q7" s="29" t="str">
        <f t="shared" si="4"/>
        <v/>
      </c>
      <c r="R7" s="6"/>
      <c r="S7" s="6"/>
      <c r="T7" s="6"/>
      <c r="U7" s="6"/>
      <c r="V7" s="6"/>
      <c r="W7" s="6"/>
      <c r="X7" s="6"/>
      <c r="Y7" s="6"/>
      <c r="Z7" s="6"/>
    </row>
    <row r="8">
      <c r="A8" s="12">
        <v>6.0</v>
      </c>
      <c r="B8" s="9"/>
      <c r="C8" s="28"/>
      <c r="D8" s="9"/>
      <c r="E8" s="9"/>
      <c r="F8" s="9"/>
      <c r="G8" s="9"/>
      <c r="H8" s="9"/>
      <c r="I8" s="29"/>
      <c r="J8" s="6"/>
      <c r="K8" s="30"/>
      <c r="L8" s="9"/>
      <c r="M8" s="9"/>
      <c r="N8" s="9"/>
      <c r="O8" s="9"/>
      <c r="P8" s="9"/>
      <c r="Q8" s="29"/>
      <c r="R8" s="6"/>
      <c r="S8" s="6"/>
      <c r="T8" s="6"/>
      <c r="U8" s="6"/>
      <c r="V8" s="6"/>
      <c r="W8" s="6"/>
      <c r="X8" s="6"/>
      <c r="Y8" s="6"/>
      <c r="Z8" s="6"/>
    </row>
    <row r="9">
      <c r="A9" s="12">
        <v>7.0</v>
      </c>
      <c r="B9" s="9"/>
      <c r="C9" s="31"/>
      <c r="D9" s="32"/>
      <c r="E9" s="32"/>
      <c r="F9" s="33" t="s">
        <v>40</v>
      </c>
      <c r="G9" s="34">
        <f>SUM(D5:D7)</f>
        <v>0</v>
      </c>
      <c r="H9" s="32"/>
      <c r="I9" s="35"/>
      <c r="J9" s="6"/>
      <c r="K9" s="31"/>
      <c r="L9" s="32"/>
      <c r="M9" s="32"/>
      <c r="N9" s="33" t="s">
        <v>40</v>
      </c>
      <c r="O9" s="34">
        <f>SUM(L5:L7)</f>
        <v>0</v>
      </c>
      <c r="P9" s="32"/>
      <c r="Q9" s="35"/>
      <c r="R9" s="6"/>
      <c r="S9" s="6"/>
      <c r="T9" s="6"/>
      <c r="U9" s="6"/>
      <c r="V9" s="6"/>
      <c r="W9" s="6"/>
      <c r="X9" s="6"/>
      <c r="Y9" s="6"/>
      <c r="Z9" s="6"/>
    </row>
    <row r="10">
      <c r="A10" s="12">
        <v>8.0</v>
      </c>
      <c r="B10" s="9"/>
      <c r="C10" s="9"/>
      <c r="D10" s="9"/>
      <c r="E10" s="9"/>
      <c r="F10" s="9"/>
      <c r="G10" s="9"/>
      <c r="H10" s="9"/>
      <c r="I10" s="9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>
        <v>9.0</v>
      </c>
      <c r="B11" s="9"/>
      <c r="C11" s="23" t="s">
        <v>41</v>
      </c>
      <c r="D11" s="24"/>
      <c r="E11" s="24"/>
      <c r="F11" s="24"/>
      <c r="G11" s="24"/>
      <c r="H11" s="24"/>
      <c r="I11" s="25"/>
      <c r="J11" s="6"/>
      <c r="K11" s="23" t="s">
        <v>42</v>
      </c>
      <c r="L11" s="24"/>
      <c r="M11" s="24"/>
      <c r="N11" s="24"/>
      <c r="O11" s="24"/>
      <c r="P11" s="24"/>
      <c r="Q11" s="25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>
        <v>10.0</v>
      </c>
      <c r="B12" s="9"/>
      <c r="C12" s="26" t="s">
        <v>9</v>
      </c>
      <c r="D12" s="8" t="s">
        <v>10</v>
      </c>
      <c r="E12" s="8" t="s">
        <v>11</v>
      </c>
      <c r="F12" s="8" t="s">
        <v>12</v>
      </c>
      <c r="G12" s="8" t="s">
        <v>13</v>
      </c>
      <c r="H12" s="8" t="s">
        <v>14</v>
      </c>
      <c r="I12" s="27" t="s">
        <v>15</v>
      </c>
      <c r="J12" s="6"/>
      <c r="K12" s="26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  <c r="Q12" s="27" t="s">
        <v>15</v>
      </c>
      <c r="R12" s="6"/>
      <c r="S12" s="6"/>
      <c r="T12" s="6"/>
      <c r="U12" s="6"/>
      <c r="V12" s="6"/>
      <c r="W12" s="6"/>
      <c r="X12" s="6"/>
      <c r="Y12" s="6"/>
      <c r="Z12" s="6"/>
    </row>
    <row r="13">
      <c r="A13" s="12">
        <v>11.0</v>
      </c>
      <c r="B13" s="9"/>
      <c r="C13" s="28"/>
      <c r="D13" s="9" t="str">
        <f t="array" ref="D13">IFERROR(INDEX(Data!$B:$B, MATCH(C13, Data!$A:$A, 0)), "")</f>
        <v/>
      </c>
      <c r="E13" s="9" t="str">
        <f t="array" ref="E13">IFERROR(INDEX(Data!C:C, MATCH($C13, Data!$A:$A, 0)), "")</f>
        <v/>
      </c>
      <c r="F13" s="9" t="str">
        <f t="array" ref="F13">IFERROR(INDEX(Data!D:D, MATCH($C13, Data!$A:$A, 0)), "")</f>
        <v/>
      </c>
      <c r="G13" s="9" t="str">
        <f t="array" ref="G13">IFERROR(INDEX(Data!E:E, MATCH($C13, Data!$A:$A, 0)), "")</f>
        <v/>
      </c>
      <c r="H13" s="9" t="str">
        <f t="shared" ref="H13:H15" si="5">INDIRECT("'"&amp;C13&amp;"'!M12")</f>
        <v>AUTO EPA</v>
      </c>
      <c r="I13" s="29" t="str">
        <f t="shared" ref="I13:I15" si="6">INDIRECT("'"&amp;C13&amp;"'!j12")</f>
        <v/>
      </c>
      <c r="J13" s="6"/>
      <c r="K13" s="28"/>
      <c r="L13" s="9" t="str">
        <f t="array" ref="L13">IFERROR(INDEX(Data!$B:$B, MATCH(K13, Data!$A:$A, 0)), "")</f>
        <v/>
      </c>
      <c r="M13" s="9" t="str">
        <f t="array" ref="M13">IFERROR(INDEX(Data!K:K, MATCH($C13, Data!$A:$A, 0)), "")</f>
        <v/>
      </c>
      <c r="N13" s="9" t="str">
        <f t="array" ref="N13">IFERROR(INDEX(Data!L:L, MATCH($C13, Data!$A:$A, 0)), "")</f>
        <v/>
      </c>
      <c r="O13" s="9" t="str">
        <f t="array" ref="O13">IFERROR(INDEX(Data!M:M, MATCH($C13, Data!$A:$A, 0)), "")</f>
        <v/>
      </c>
      <c r="P13" s="9" t="str">
        <f t="shared" ref="P13:P15" si="7">INDIRECT("'"&amp;K13&amp;"'!M12")</f>
        <v>AUTO EPA</v>
      </c>
      <c r="Q13" s="29" t="str">
        <f t="shared" ref="Q13:Q15" si="8">INDIRECT("'"&amp;K13&amp;"'!j12")</f>
        <v/>
      </c>
      <c r="R13" s="6"/>
      <c r="S13" s="6"/>
      <c r="T13" s="6"/>
      <c r="U13" s="6"/>
      <c r="V13" s="6"/>
      <c r="W13" s="6"/>
      <c r="X13" s="6"/>
      <c r="Y13" s="6"/>
      <c r="Z13" s="6"/>
    </row>
    <row r="14">
      <c r="A14" s="12">
        <v>12.0</v>
      </c>
      <c r="B14" s="9"/>
      <c r="C14" s="28"/>
      <c r="D14" s="9" t="str">
        <f t="array" ref="D14">IFERROR(INDEX(Data!$B:$B, MATCH(C14, Data!$A:$A, 0)), "")</f>
        <v/>
      </c>
      <c r="E14" s="9" t="str">
        <f t="array" ref="E14">IFERROR(INDEX(Data!C:C, MATCH($C14, Data!$A:$A, 0)), "")</f>
        <v/>
      </c>
      <c r="F14" s="9" t="str">
        <f t="array" ref="F14">IFERROR(INDEX(Data!D:D, MATCH($C14, Data!$A:$A, 0)), "")</f>
        <v/>
      </c>
      <c r="G14" s="9" t="str">
        <f t="array" ref="G14">IFERROR(INDEX(Data!E:E, MATCH($C14, Data!$A:$A, 0)), "")</f>
        <v/>
      </c>
      <c r="H14" s="9" t="str">
        <f t="shared" si="5"/>
        <v>AUTO EPA</v>
      </c>
      <c r="I14" s="29" t="str">
        <f t="shared" si="6"/>
        <v/>
      </c>
      <c r="J14" s="6"/>
      <c r="K14" s="28"/>
      <c r="L14" s="9" t="str">
        <f t="array" ref="L14">IFERROR(INDEX(Data!$B:$B, MATCH(K14, Data!$A:$A, 0)), "")</f>
        <v/>
      </c>
      <c r="M14" s="9" t="str">
        <f t="array" ref="M14">IFERROR(INDEX(Data!K:K, MATCH($C14, Data!$A:$A, 0)), "")</f>
        <v/>
      </c>
      <c r="N14" s="9" t="str">
        <f t="array" ref="N14">IFERROR(INDEX(Data!L:L, MATCH($C14, Data!$A:$A, 0)), "")</f>
        <v/>
      </c>
      <c r="O14" s="9" t="str">
        <f t="array" ref="O14">IFERROR(INDEX(Data!M:M, MATCH($C14, Data!$A:$A, 0)), "")</f>
        <v/>
      </c>
      <c r="P14" s="9" t="str">
        <f t="shared" si="7"/>
        <v>AUTO EPA</v>
      </c>
      <c r="Q14" s="29" t="str">
        <f t="shared" si="8"/>
        <v/>
      </c>
      <c r="R14" s="6"/>
      <c r="S14" s="6"/>
      <c r="T14" s="6"/>
      <c r="U14" s="6"/>
      <c r="V14" s="6"/>
      <c r="W14" s="6"/>
      <c r="X14" s="6"/>
      <c r="Y14" s="6"/>
      <c r="Z14" s="6"/>
    </row>
    <row r="15">
      <c r="A15" s="12">
        <v>13.0</v>
      </c>
      <c r="B15" s="9"/>
      <c r="C15" s="28"/>
      <c r="D15" s="9" t="str">
        <f t="array" ref="D15">IFERROR(INDEX(Data!$B:$B, MATCH(C15, Data!$A:$A, 0)), "")</f>
        <v/>
      </c>
      <c r="E15" s="9" t="str">
        <f t="array" ref="E15">IFERROR(INDEX(Data!C:C, MATCH($C15, Data!$A:$A, 0)), "")</f>
        <v/>
      </c>
      <c r="F15" s="9" t="str">
        <f t="array" ref="F15">IFERROR(INDEX(Data!D:D, MATCH($C15, Data!$A:$A, 0)), "")</f>
        <v/>
      </c>
      <c r="G15" s="9" t="str">
        <f t="array" ref="G15">IFERROR(INDEX(Data!E:E, MATCH($C15, Data!$A:$A, 0)), "")</f>
        <v/>
      </c>
      <c r="H15" s="9" t="str">
        <f t="shared" si="5"/>
        <v>AUTO EPA</v>
      </c>
      <c r="I15" s="29" t="str">
        <f t="shared" si="6"/>
        <v/>
      </c>
      <c r="J15" s="6"/>
      <c r="K15" s="28"/>
      <c r="L15" s="9" t="str">
        <f t="array" ref="L15">IFERROR(INDEX(Data!$B:$B, MATCH(K15, Data!$A:$A, 0)), "")</f>
        <v/>
      </c>
      <c r="M15" s="9" t="str">
        <f t="array" ref="M15">IFERROR(INDEX(Data!K:K, MATCH($C15, Data!$A:$A, 0)), "")</f>
        <v/>
      </c>
      <c r="N15" s="9" t="str">
        <f t="array" ref="N15">IFERROR(INDEX(Data!L:L, MATCH($C15, Data!$A:$A, 0)), "")</f>
        <v/>
      </c>
      <c r="O15" s="9" t="str">
        <f t="array" ref="O15">IFERROR(INDEX(Data!M:M, MATCH($C15, Data!$A:$A, 0)), "")</f>
        <v/>
      </c>
      <c r="P15" s="9" t="str">
        <f t="shared" si="7"/>
        <v>AUTO EPA</v>
      </c>
      <c r="Q15" s="29" t="str">
        <f t="shared" si="8"/>
        <v/>
      </c>
      <c r="R15" s="6"/>
      <c r="S15" s="6"/>
      <c r="T15" s="6"/>
      <c r="U15" s="6"/>
      <c r="V15" s="6"/>
      <c r="W15" s="6"/>
      <c r="X15" s="6"/>
      <c r="Y15" s="6"/>
      <c r="Z15" s="6"/>
    </row>
    <row r="16">
      <c r="A16" s="12">
        <v>14.0</v>
      </c>
      <c r="B16" s="9"/>
      <c r="C16" s="30"/>
      <c r="D16" s="9"/>
      <c r="E16" s="9"/>
      <c r="F16" s="9"/>
      <c r="G16" s="9"/>
      <c r="H16" s="9"/>
      <c r="I16" s="29"/>
      <c r="J16" s="6"/>
      <c r="K16" s="30"/>
      <c r="L16" s="9"/>
      <c r="M16" s="9"/>
      <c r="N16" s="9"/>
      <c r="O16" s="9"/>
      <c r="P16" s="9"/>
      <c r="Q16" s="29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>
        <v>15.0</v>
      </c>
      <c r="B17" s="9"/>
      <c r="C17" s="31"/>
      <c r="D17" s="32"/>
      <c r="E17" s="32"/>
      <c r="F17" s="33" t="s">
        <v>40</v>
      </c>
      <c r="G17" s="34">
        <f>SUM(D13:D15)</f>
        <v>0</v>
      </c>
      <c r="H17" s="32"/>
      <c r="I17" s="35"/>
      <c r="J17" s="6"/>
      <c r="K17" s="31"/>
      <c r="L17" s="32"/>
      <c r="M17" s="32"/>
      <c r="N17" s="33" t="s">
        <v>40</v>
      </c>
      <c r="O17" s="34">
        <f>SUM(L13:L15)</f>
        <v>0</v>
      </c>
      <c r="P17" s="32"/>
      <c r="Q17" s="35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>
        <v>16.0</v>
      </c>
      <c r="B18" s="9"/>
      <c r="C18" s="9"/>
      <c r="D18" s="9"/>
      <c r="E18" s="9"/>
      <c r="F18" s="9"/>
      <c r="G18" s="9"/>
      <c r="H18" s="9"/>
      <c r="I18" s="9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>
        <v>17.0</v>
      </c>
      <c r="B19" s="9"/>
      <c r="C19" s="23" t="s">
        <v>43</v>
      </c>
      <c r="D19" s="24"/>
      <c r="E19" s="24"/>
      <c r="F19" s="24"/>
      <c r="G19" s="24"/>
      <c r="H19" s="24"/>
      <c r="I19" s="25"/>
      <c r="J19" s="6"/>
      <c r="K19" s="23" t="s">
        <v>44</v>
      </c>
      <c r="L19" s="24"/>
      <c r="M19" s="24"/>
      <c r="N19" s="24"/>
      <c r="O19" s="24"/>
      <c r="P19" s="24"/>
      <c r="Q19" s="25"/>
      <c r="R19" s="6"/>
      <c r="S19" s="6"/>
      <c r="T19" s="6"/>
      <c r="U19" s="6"/>
      <c r="V19" s="6"/>
      <c r="W19" s="6"/>
      <c r="X19" s="6"/>
      <c r="Y19" s="6"/>
      <c r="Z19" s="6"/>
    </row>
    <row r="20">
      <c r="A20" s="12">
        <v>18.0</v>
      </c>
      <c r="B20" s="9"/>
      <c r="C20" s="26" t="s">
        <v>9</v>
      </c>
      <c r="D20" s="8" t="s">
        <v>10</v>
      </c>
      <c r="E20" s="8" t="s">
        <v>11</v>
      </c>
      <c r="F20" s="8" t="s">
        <v>12</v>
      </c>
      <c r="G20" s="8" t="s">
        <v>13</v>
      </c>
      <c r="H20" s="8" t="s">
        <v>14</v>
      </c>
      <c r="I20" s="27" t="s">
        <v>15</v>
      </c>
      <c r="J20" s="6"/>
      <c r="K20" s="26" t="s">
        <v>9</v>
      </c>
      <c r="L20" s="8" t="s">
        <v>10</v>
      </c>
      <c r="M20" s="8" t="s">
        <v>11</v>
      </c>
      <c r="N20" s="8" t="s">
        <v>12</v>
      </c>
      <c r="O20" s="8" t="s">
        <v>13</v>
      </c>
      <c r="P20" s="8" t="s">
        <v>14</v>
      </c>
      <c r="Q20" s="27" t="s">
        <v>15</v>
      </c>
      <c r="R20" s="6"/>
      <c r="S20" s="6"/>
      <c r="T20" s="6"/>
      <c r="U20" s="6"/>
      <c r="V20" s="6"/>
      <c r="W20" s="6"/>
      <c r="X20" s="6"/>
      <c r="Y20" s="6"/>
      <c r="Z20" s="6"/>
    </row>
    <row r="21">
      <c r="A21" s="12">
        <v>19.0</v>
      </c>
      <c r="B21" s="9"/>
      <c r="C21" s="28"/>
      <c r="D21" s="9" t="str">
        <f t="array" ref="D21">IFERROR(INDEX(Data!$B:$B, MATCH(C21, Data!$A:$A, 0)), "")</f>
        <v/>
      </c>
      <c r="E21" s="9" t="str">
        <f t="array" ref="E21">IFERROR(INDEX(Data!C:C, MATCH($C21, Data!$A:$A, 0)), "")</f>
        <v/>
      </c>
      <c r="F21" s="9" t="str">
        <f t="array" ref="F21">IFERROR(INDEX(Data!D:D, MATCH($C21, Data!$A:$A, 0)), "")</f>
        <v/>
      </c>
      <c r="G21" s="9" t="str">
        <f t="array" ref="G21">IFERROR(INDEX(Data!E:E, MATCH($C21, Data!$A:$A, 0)), "")</f>
        <v/>
      </c>
      <c r="H21" s="9" t="str">
        <f t="shared" ref="H21:H23" si="9">INDIRECT("'"&amp;C21&amp;"'!M12")</f>
        <v>AUTO EPA</v>
      </c>
      <c r="I21" s="29" t="str">
        <f t="shared" ref="I21:I23" si="10">INDIRECT("'"&amp;C21&amp;"'!j12")</f>
        <v/>
      </c>
      <c r="J21" s="6"/>
      <c r="K21" s="28"/>
      <c r="L21" s="9" t="str">
        <f t="array" ref="L21">IFERROR(INDEX(Data!$B:$B, MATCH(K21, Data!$A:$A, 0)), "")</f>
        <v/>
      </c>
      <c r="M21" s="9" t="str">
        <f t="array" ref="M21">IFERROR(INDEX(Data!K:K, MATCH($C21, Data!$A:$A, 0)), "")</f>
        <v/>
      </c>
      <c r="N21" s="9" t="str">
        <f t="array" ref="N21">IFERROR(INDEX(Data!L:L, MATCH($C21, Data!$A:$A, 0)), "")</f>
        <v/>
      </c>
      <c r="O21" s="9" t="str">
        <f t="array" ref="O21">IFERROR(INDEX(Data!M:M, MATCH($C21, Data!$A:$A, 0)), "")</f>
        <v/>
      </c>
      <c r="P21" s="9" t="str">
        <f t="shared" ref="P21:P23" si="11">INDIRECT("'"&amp;K21&amp;"'!M12")</f>
        <v>AUTO EPA</v>
      </c>
      <c r="Q21" s="29" t="str">
        <f t="shared" ref="Q21:Q23" si="12">INDIRECT("'"&amp;K21&amp;"'!j12")</f>
        <v/>
      </c>
      <c r="R21" s="6"/>
      <c r="S21" s="6"/>
      <c r="T21" s="6"/>
      <c r="U21" s="6"/>
      <c r="V21" s="6"/>
      <c r="W21" s="6"/>
      <c r="X21" s="6"/>
      <c r="Y21" s="6"/>
      <c r="Z21" s="6"/>
    </row>
    <row r="22">
      <c r="A22" s="12">
        <v>20.0</v>
      </c>
      <c r="B22" s="9"/>
      <c r="C22" s="28"/>
      <c r="D22" s="9" t="str">
        <f t="array" ref="D22">IFERROR(INDEX(Data!$B:$B, MATCH(C22, Data!$A:$A, 0)), "")</f>
        <v/>
      </c>
      <c r="E22" s="9" t="str">
        <f t="array" ref="E22">IFERROR(INDEX(Data!C:C, MATCH($C22, Data!$A:$A, 0)), "")</f>
        <v/>
      </c>
      <c r="F22" s="9" t="str">
        <f t="array" ref="F22">IFERROR(INDEX(Data!D:D, MATCH($C22, Data!$A:$A, 0)), "")</f>
        <v/>
      </c>
      <c r="G22" s="9" t="str">
        <f t="array" ref="G22">IFERROR(INDEX(Data!E:E, MATCH($C22, Data!$A:$A, 0)), "")</f>
        <v/>
      </c>
      <c r="H22" s="9" t="str">
        <f t="shared" si="9"/>
        <v>AUTO EPA</v>
      </c>
      <c r="I22" s="29" t="str">
        <f t="shared" si="10"/>
        <v/>
      </c>
      <c r="J22" s="6"/>
      <c r="K22" s="28"/>
      <c r="L22" s="9" t="str">
        <f t="array" ref="L22">IFERROR(INDEX(Data!$B:$B, MATCH(K22, Data!$A:$A, 0)), "")</f>
        <v/>
      </c>
      <c r="M22" s="9" t="str">
        <f t="array" ref="M22">IFERROR(INDEX(Data!K:K, MATCH($C22, Data!$A:$A, 0)), "")</f>
        <v/>
      </c>
      <c r="N22" s="9" t="str">
        <f t="array" ref="N22">IFERROR(INDEX(Data!L:L, MATCH($C22, Data!$A:$A, 0)), "")</f>
        <v/>
      </c>
      <c r="O22" s="9" t="str">
        <f t="array" ref="O22">IFERROR(INDEX(Data!M:M, MATCH($C22, Data!$A:$A, 0)), "")</f>
        <v/>
      </c>
      <c r="P22" s="9" t="str">
        <f t="shared" si="11"/>
        <v>AUTO EPA</v>
      </c>
      <c r="Q22" s="29" t="str">
        <f t="shared" si="12"/>
        <v/>
      </c>
      <c r="R22" s="6"/>
      <c r="S22" s="6"/>
      <c r="T22" s="6"/>
      <c r="U22" s="6"/>
      <c r="V22" s="6"/>
      <c r="W22" s="6"/>
      <c r="X22" s="6"/>
      <c r="Y22" s="6"/>
      <c r="Z22" s="6"/>
    </row>
    <row r="23">
      <c r="A23" s="12">
        <v>21.0</v>
      </c>
      <c r="B23" s="9"/>
      <c r="C23" s="28"/>
      <c r="D23" s="9" t="str">
        <f t="array" ref="D23">IFERROR(INDEX(Data!$B:$B, MATCH(C23, Data!$A:$A, 0)), "")</f>
        <v/>
      </c>
      <c r="E23" s="9" t="str">
        <f t="array" ref="E23">IFERROR(INDEX(Data!C:C, MATCH($C23, Data!$A:$A, 0)), "")</f>
        <v/>
      </c>
      <c r="F23" s="9" t="str">
        <f t="array" ref="F23">IFERROR(INDEX(Data!D:D, MATCH($C23, Data!$A:$A, 0)), "")</f>
        <v/>
      </c>
      <c r="G23" s="9" t="str">
        <f t="array" ref="G23">IFERROR(INDEX(Data!E:E, MATCH($C23, Data!$A:$A, 0)), "")</f>
        <v/>
      </c>
      <c r="H23" s="9" t="str">
        <f t="shared" si="9"/>
        <v>AUTO EPA</v>
      </c>
      <c r="I23" s="29" t="str">
        <f t="shared" si="10"/>
        <v/>
      </c>
      <c r="J23" s="6"/>
      <c r="K23" s="28"/>
      <c r="L23" s="9" t="str">
        <f t="array" ref="L23">IFERROR(INDEX(Data!$B:$B, MATCH(K23, Data!$A:$A, 0)), "")</f>
        <v/>
      </c>
      <c r="M23" s="9" t="str">
        <f t="array" ref="M23">IFERROR(INDEX(Data!K:K, MATCH($C23, Data!$A:$A, 0)), "")</f>
        <v/>
      </c>
      <c r="N23" s="9" t="str">
        <f t="array" ref="N23">IFERROR(INDEX(Data!L:L, MATCH($C23, Data!$A:$A, 0)), "")</f>
        <v/>
      </c>
      <c r="O23" s="9" t="str">
        <f t="array" ref="O23">IFERROR(INDEX(Data!M:M, MATCH($C23, Data!$A:$A, 0)), "")</f>
        <v/>
      </c>
      <c r="P23" s="9" t="str">
        <f t="shared" si="11"/>
        <v>AUTO EPA</v>
      </c>
      <c r="Q23" s="29" t="str">
        <f t="shared" si="12"/>
        <v/>
      </c>
      <c r="R23" s="6"/>
      <c r="S23" s="6"/>
      <c r="T23" s="6"/>
      <c r="U23" s="6"/>
      <c r="V23" s="6"/>
      <c r="W23" s="6"/>
      <c r="X23" s="6"/>
      <c r="Y23" s="6"/>
      <c r="Z23" s="6"/>
    </row>
    <row r="24">
      <c r="A24" s="12">
        <v>22.0</v>
      </c>
      <c r="B24" s="9"/>
      <c r="C24" s="30"/>
      <c r="D24" s="9"/>
      <c r="E24" s="9"/>
      <c r="F24" s="9"/>
      <c r="G24" s="9"/>
      <c r="H24" s="9"/>
      <c r="I24" s="29"/>
      <c r="J24" s="6"/>
      <c r="K24" s="30"/>
      <c r="L24" s="9"/>
      <c r="M24" s="9"/>
      <c r="N24" s="9"/>
      <c r="O24" s="9"/>
      <c r="P24" s="9"/>
      <c r="Q24" s="29"/>
      <c r="R24" s="6"/>
      <c r="S24" s="6"/>
      <c r="T24" s="6"/>
      <c r="U24" s="6"/>
      <c r="V24" s="6"/>
      <c r="W24" s="6"/>
      <c r="X24" s="6"/>
      <c r="Y24" s="6"/>
      <c r="Z24" s="6"/>
    </row>
    <row r="25">
      <c r="A25" s="12">
        <v>23.0</v>
      </c>
      <c r="B25" s="9"/>
      <c r="C25" s="31"/>
      <c r="D25" s="32"/>
      <c r="E25" s="32"/>
      <c r="F25" s="33" t="s">
        <v>40</v>
      </c>
      <c r="G25" s="34">
        <f>SUM(D21:D23)</f>
        <v>0</v>
      </c>
      <c r="H25" s="32"/>
      <c r="I25" s="35"/>
      <c r="J25" s="6"/>
      <c r="K25" s="31"/>
      <c r="L25" s="32"/>
      <c r="M25" s="32"/>
      <c r="N25" s="33" t="s">
        <v>40</v>
      </c>
      <c r="O25" s="34">
        <f>SUM(L21:L23)</f>
        <v>0</v>
      </c>
      <c r="P25" s="32"/>
      <c r="Q25" s="35"/>
      <c r="R25" s="6"/>
      <c r="S25" s="6"/>
      <c r="T25" s="6"/>
      <c r="U25" s="6"/>
      <c r="V25" s="6"/>
      <c r="W25" s="6"/>
      <c r="X25" s="6"/>
      <c r="Y25" s="6"/>
      <c r="Z25" s="6"/>
    </row>
    <row r="26">
      <c r="A26" s="12">
        <v>24.0</v>
      </c>
      <c r="B26" s="9"/>
      <c r="C26" s="9"/>
      <c r="D26" s="9"/>
      <c r="E26" s="9"/>
      <c r="F26" s="9"/>
      <c r="G26" s="9"/>
      <c r="H26" s="9"/>
      <c r="I26" s="9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2">
        <v>25.0</v>
      </c>
      <c r="B27" s="9"/>
      <c r="C27" s="23" t="s">
        <v>45</v>
      </c>
      <c r="D27" s="24"/>
      <c r="E27" s="24"/>
      <c r="F27" s="24"/>
      <c r="G27" s="24"/>
      <c r="H27" s="24"/>
      <c r="I27" s="25"/>
      <c r="J27" s="6"/>
      <c r="K27" s="23" t="s">
        <v>46</v>
      </c>
      <c r="L27" s="24"/>
      <c r="M27" s="24"/>
      <c r="N27" s="24"/>
      <c r="O27" s="24"/>
      <c r="P27" s="24"/>
      <c r="Q27" s="25"/>
      <c r="R27" s="6"/>
      <c r="S27" s="6"/>
      <c r="T27" s="6"/>
      <c r="U27" s="6"/>
      <c r="V27" s="6"/>
      <c r="W27" s="6"/>
      <c r="X27" s="6"/>
      <c r="Y27" s="6"/>
      <c r="Z27" s="6"/>
    </row>
    <row r="28">
      <c r="A28" s="12">
        <v>26.0</v>
      </c>
      <c r="B28" s="9"/>
      <c r="C28" s="26" t="s">
        <v>9</v>
      </c>
      <c r="D28" s="8" t="s">
        <v>10</v>
      </c>
      <c r="E28" s="8" t="s">
        <v>11</v>
      </c>
      <c r="F28" s="8" t="s">
        <v>12</v>
      </c>
      <c r="G28" s="8" t="s">
        <v>13</v>
      </c>
      <c r="H28" s="8" t="s">
        <v>14</v>
      </c>
      <c r="I28" s="27" t="s">
        <v>15</v>
      </c>
      <c r="J28" s="6"/>
      <c r="K28" s="26" t="s">
        <v>9</v>
      </c>
      <c r="L28" s="8" t="s">
        <v>10</v>
      </c>
      <c r="M28" s="8" t="s">
        <v>11</v>
      </c>
      <c r="N28" s="8" t="s">
        <v>12</v>
      </c>
      <c r="O28" s="8" t="s">
        <v>13</v>
      </c>
      <c r="P28" s="8" t="s">
        <v>14</v>
      </c>
      <c r="Q28" s="27" t="s">
        <v>15</v>
      </c>
      <c r="R28" s="6"/>
      <c r="S28" s="6"/>
      <c r="T28" s="6"/>
      <c r="U28" s="6"/>
      <c r="V28" s="6"/>
      <c r="W28" s="6"/>
      <c r="X28" s="6"/>
      <c r="Y28" s="6"/>
      <c r="Z28" s="6"/>
    </row>
    <row r="29">
      <c r="A29" s="12">
        <v>27.0</v>
      </c>
      <c r="B29" s="9"/>
      <c r="C29" s="28"/>
      <c r="D29" s="9" t="str">
        <f t="array" ref="D29">IFERROR(INDEX(Data!$B:$B, MATCH(C29, Data!$A:$A, 0)), "")</f>
        <v/>
      </c>
      <c r="E29" s="9" t="str">
        <f t="array" ref="E29">IFERROR(INDEX(Data!C:C, MATCH($C29, Data!$A:$A, 0)), "")</f>
        <v/>
      </c>
      <c r="F29" s="9" t="str">
        <f t="array" ref="F29">IFERROR(INDEX(Data!D:D, MATCH($C29, Data!$A:$A, 0)), "")</f>
        <v/>
      </c>
      <c r="G29" s="9" t="str">
        <f t="array" ref="G29">IFERROR(INDEX(Data!E:E, MATCH($C29, Data!$A:$A, 0)), "")</f>
        <v/>
      </c>
      <c r="H29" s="9" t="str">
        <f t="shared" ref="H29:H31" si="13">INDIRECT("'"&amp;C29&amp;"'!M12")</f>
        <v>AUTO EPA</v>
      </c>
      <c r="I29" s="29" t="str">
        <f t="shared" ref="I29:I31" si="14">INDIRECT("'"&amp;C29&amp;"'!j12")</f>
        <v/>
      </c>
      <c r="J29" s="6"/>
      <c r="K29" s="28"/>
      <c r="L29" s="9" t="str">
        <f t="array" ref="L29">IFERROR(INDEX(Data!$B:$B, MATCH(K29, Data!$A:$A, 0)), "")</f>
        <v/>
      </c>
      <c r="M29" s="9" t="str">
        <f t="array" ref="M29">IFERROR(INDEX(Data!K:K, MATCH($C29, Data!$A:$A, 0)), "")</f>
        <v/>
      </c>
      <c r="N29" s="9" t="str">
        <f t="array" ref="N29">IFERROR(INDEX(Data!L:L, MATCH($C29, Data!$A:$A, 0)), "")</f>
        <v/>
      </c>
      <c r="O29" s="9" t="str">
        <f t="array" ref="O29">IFERROR(INDEX(Data!M:M, MATCH($C29, Data!$A:$A, 0)), "")</f>
        <v/>
      </c>
      <c r="P29" s="9" t="str">
        <f t="shared" ref="P29:P31" si="15">INDIRECT("'"&amp;K29&amp;"'!M12")</f>
        <v>AUTO EPA</v>
      </c>
      <c r="Q29" s="29" t="str">
        <f t="shared" ref="Q29:Q31" si="16">INDIRECT("'"&amp;K29&amp;"'!j12")</f>
        <v/>
      </c>
      <c r="R29" s="6"/>
      <c r="S29" s="6"/>
      <c r="T29" s="6"/>
      <c r="U29" s="6"/>
      <c r="V29" s="6"/>
      <c r="W29" s="6"/>
      <c r="X29" s="6"/>
      <c r="Y29" s="6"/>
      <c r="Z29" s="6"/>
    </row>
    <row r="30">
      <c r="A30" s="12">
        <v>28.0</v>
      </c>
      <c r="B30" s="9"/>
      <c r="C30" s="28"/>
      <c r="D30" s="9" t="str">
        <f t="array" ref="D30">IFERROR(INDEX(Data!$B:$B, MATCH(C30, Data!$A:$A, 0)), "")</f>
        <v/>
      </c>
      <c r="E30" s="9" t="str">
        <f t="array" ref="E30">IFERROR(INDEX(Data!C:C, MATCH($C30, Data!$A:$A, 0)), "")</f>
        <v/>
      </c>
      <c r="F30" s="9" t="str">
        <f t="array" ref="F30">IFERROR(INDEX(Data!D:D, MATCH($C30, Data!$A:$A, 0)), "")</f>
        <v/>
      </c>
      <c r="G30" s="9" t="str">
        <f t="array" ref="G30">IFERROR(INDEX(Data!E:E, MATCH($C30, Data!$A:$A, 0)), "")</f>
        <v/>
      </c>
      <c r="H30" s="9" t="str">
        <f t="shared" si="13"/>
        <v>AUTO EPA</v>
      </c>
      <c r="I30" s="29" t="str">
        <f t="shared" si="14"/>
        <v/>
      </c>
      <c r="J30" s="6"/>
      <c r="K30" s="28"/>
      <c r="L30" s="9" t="str">
        <f t="array" ref="L30">IFERROR(INDEX(Data!$B:$B, MATCH(K30, Data!$A:$A, 0)), "")</f>
        <v/>
      </c>
      <c r="M30" s="9" t="str">
        <f t="array" ref="M30">IFERROR(INDEX(Data!K:K, MATCH($C30, Data!$A:$A, 0)), "")</f>
        <v/>
      </c>
      <c r="N30" s="9" t="str">
        <f t="array" ref="N30">IFERROR(INDEX(Data!L:L, MATCH($C30, Data!$A:$A, 0)), "")</f>
        <v/>
      </c>
      <c r="O30" s="9" t="str">
        <f t="array" ref="O30">IFERROR(INDEX(Data!M:M, MATCH($C30, Data!$A:$A, 0)), "")</f>
        <v/>
      </c>
      <c r="P30" s="9" t="str">
        <f t="shared" si="15"/>
        <v>AUTO EPA</v>
      </c>
      <c r="Q30" s="29" t="str">
        <f t="shared" si="16"/>
        <v/>
      </c>
      <c r="R30" s="6"/>
      <c r="S30" s="6"/>
      <c r="T30" s="6"/>
      <c r="U30" s="6"/>
      <c r="V30" s="6"/>
      <c r="W30" s="6"/>
      <c r="X30" s="6"/>
      <c r="Y30" s="6"/>
      <c r="Z30" s="6"/>
    </row>
    <row r="31">
      <c r="A31" s="12">
        <v>29.0</v>
      </c>
      <c r="B31" s="9"/>
      <c r="C31" s="28"/>
      <c r="D31" s="9" t="str">
        <f t="array" ref="D31">IFERROR(INDEX(Data!$B:$B, MATCH(C31, Data!$A:$A, 0)), "")</f>
        <v/>
      </c>
      <c r="E31" s="9" t="str">
        <f t="array" ref="E31">IFERROR(INDEX(Data!C:C, MATCH($C31, Data!$A:$A, 0)), "")</f>
        <v/>
      </c>
      <c r="F31" s="9" t="str">
        <f t="array" ref="F31">IFERROR(INDEX(Data!D:D, MATCH($C31, Data!$A:$A, 0)), "")</f>
        <v/>
      </c>
      <c r="G31" s="9" t="str">
        <f t="array" ref="G31">IFERROR(INDEX(Data!E:E, MATCH($C31, Data!$A:$A, 0)), "")</f>
        <v/>
      </c>
      <c r="H31" s="9" t="str">
        <f t="shared" si="13"/>
        <v>AUTO EPA</v>
      </c>
      <c r="I31" s="29" t="str">
        <f t="shared" si="14"/>
        <v/>
      </c>
      <c r="J31" s="6"/>
      <c r="K31" s="28"/>
      <c r="L31" s="9" t="str">
        <f t="array" ref="L31">IFERROR(INDEX(Data!$B:$B, MATCH(K31, Data!$A:$A, 0)), "")</f>
        <v/>
      </c>
      <c r="M31" s="9" t="str">
        <f t="array" ref="M31">IFERROR(INDEX(Data!K:K, MATCH($C31, Data!$A:$A, 0)), "")</f>
        <v/>
      </c>
      <c r="N31" s="9" t="str">
        <f t="array" ref="N31">IFERROR(INDEX(Data!L:L, MATCH($C31, Data!$A:$A, 0)), "")</f>
        <v/>
      </c>
      <c r="O31" s="9" t="str">
        <f t="array" ref="O31">IFERROR(INDEX(Data!M:M, MATCH($C31, Data!$A:$A, 0)), "")</f>
        <v/>
      </c>
      <c r="P31" s="9" t="str">
        <f t="shared" si="15"/>
        <v>AUTO EPA</v>
      </c>
      <c r="Q31" s="29" t="str">
        <f t="shared" si="16"/>
        <v/>
      </c>
      <c r="R31" s="6"/>
      <c r="S31" s="6"/>
      <c r="T31" s="6"/>
      <c r="U31" s="6"/>
      <c r="V31" s="6"/>
      <c r="W31" s="6"/>
      <c r="X31" s="6"/>
      <c r="Y31" s="6"/>
      <c r="Z31" s="6"/>
    </row>
    <row r="32">
      <c r="A32" s="12">
        <v>30.0</v>
      </c>
      <c r="B32" s="9"/>
      <c r="C32" s="30"/>
      <c r="D32" s="9"/>
      <c r="E32" s="9"/>
      <c r="F32" s="9"/>
      <c r="G32" s="9"/>
      <c r="H32" s="9"/>
      <c r="I32" s="29"/>
      <c r="J32" s="6"/>
      <c r="K32" s="30"/>
      <c r="L32" s="9"/>
      <c r="M32" s="9"/>
      <c r="N32" s="9"/>
      <c r="O32" s="9"/>
      <c r="P32" s="9"/>
      <c r="Q32" s="29"/>
      <c r="R32" s="6"/>
      <c r="S32" s="6"/>
      <c r="T32" s="6"/>
      <c r="U32" s="6"/>
      <c r="V32" s="6"/>
      <c r="W32" s="6"/>
      <c r="X32" s="6"/>
      <c r="Y32" s="6"/>
      <c r="Z32" s="6"/>
    </row>
    <row r="33">
      <c r="A33" s="12">
        <v>31.0</v>
      </c>
      <c r="B33" s="9"/>
      <c r="C33" s="31"/>
      <c r="D33" s="32"/>
      <c r="E33" s="32"/>
      <c r="F33" s="33" t="s">
        <v>40</v>
      </c>
      <c r="G33" s="34">
        <f>SUM(D29:D31)</f>
        <v>0</v>
      </c>
      <c r="H33" s="32"/>
      <c r="I33" s="35"/>
      <c r="J33" s="6"/>
      <c r="K33" s="31"/>
      <c r="L33" s="32"/>
      <c r="M33" s="32"/>
      <c r="N33" s="33" t="s">
        <v>40</v>
      </c>
      <c r="O33" s="34">
        <f>SUM(L29:L31)</f>
        <v>0</v>
      </c>
      <c r="P33" s="32"/>
      <c r="Q33" s="35"/>
      <c r="R33" s="6"/>
      <c r="S33" s="6"/>
      <c r="T33" s="6"/>
      <c r="U33" s="6"/>
      <c r="V33" s="6"/>
      <c r="W33" s="6"/>
      <c r="X33" s="6"/>
      <c r="Y33" s="6"/>
      <c r="Z33" s="6"/>
    </row>
    <row r="34">
      <c r="A34" s="12">
        <v>32.0</v>
      </c>
      <c r="B34" s="9"/>
      <c r="C34" s="9"/>
      <c r="D34" s="9"/>
      <c r="E34" s="9"/>
      <c r="F34" s="9"/>
      <c r="G34" s="9"/>
      <c r="H34" s="9"/>
      <c r="I34" s="9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2">
        <v>33.0</v>
      </c>
      <c r="B35" s="9"/>
      <c r="C35" s="9"/>
      <c r="D35" s="9"/>
      <c r="E35" s="9"/>
      <c r="F35" s="9"/>
      <c r="G35" s="36" t="s">
        <v>47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2">
        <v>34.0</v>
      </c>
      <c r="B36" s="9"/>
      <c r="C36" s="9"/>
      <c r="D36" s="9"/>
      <c r="E36" s="9"/>
      <c r="F36" s="9"/>
      <c r="G36" s="14">
        <v>1.0</v>
      </c>
      <c r="H36" s="9" t="str">
        <f t="shared" ref="H36:H43" si="17">IFERROR(INDEX($L$36:$L$43, MATCH(I36, $M$36:$M$43, 0)), "")</f>
        <v>ALLIANCE 1</v>
      </c>
      <c r="I36" s="9">
        <f>LARGE($M$36:$M$43,1)</f>
        <v>0</v>
      </c>
      <c r="J36" s="6"/>
      <c r="K36" s="6"/>
      <c r="L36" s="14" t="s">
        <v>38</v>
      </c>
      <c r="M36" s="9">
        <f>G9</f>
        <v>0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2">
        <v>35.0</v>
      </c>
      <c r="B37" s="9"/>
      <c r="C37" s="9"/>
      <c r="D37" s="9"/>
      <c r="E37" s="9"/>
      <c r="F37" s="9"/>
      <c r="G37" s="14">
        <v>2.0</v>
      </c>
      <c r="H37" s="9" t="str">
        <f t="shared" si="17"/>
        <v>ALLIANCE 1</v>
      </c>
      <c r="I37" s="9">
        <f>LARGE($M$36:$M$43,2)</f>
        <v>0</v>
      </c>
      <c r="J37" s="6"/>
      <c r="K37" s="6"/>
      <c r="L37" s="14" t="s">
        <v>41</v>
      </c>
      <c r="M37" s="9">
        <f>G17</f>
        <v>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2">
        <v>36.0</v>
      </c>
      <c r="B38" s="9"/>
      <c r="C38" s="9"/>
      <c r="D38" s="9"/>
      <c r="E38" s="9"/>
      <c r="F38" s="9"/>
      <c r="G38" s="14">
        <v>3.0</v>
      </c>
      <c r="H38" s="9" t="str">
        <f t="shared" si="17"/>
        <v>ALLIANCE 1</v>
      </c>
      <c r="I38" s="9">
        <f>LARGE($M$36:$M$43,3)</f>
        <v>0</v>
      </c>
      <c r="J38" s="6"/>
      <c r="K38" s="6"/>
      <c r="L38" s="14" t="s">
        <v>43</v>
      </c>
      <c r="M38" s="9">
        <f>G25</f>
        <v>0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2">
        <v>37.0</v>
      </c>
      <c r="B39" s="9"/>
      <c r="C39" s="9"/>
      <c r="D39" s="9"/>
      <c r="E39" s="9"/>
      <c r="F39" s="9"/>
      <c r="G39" s="14">
        <v>4.0</v>
      </c>
      <c r="H39" s="9" t="str">
        <f t="shared" si="17"/>
        <v>ALLIANCE 1</v>
      </c>
      <c r="I39" s="9">
        <f>LARGE($M$36:$M$43,4)</f>
        <v>0</v>
      </c>
      <c r="J39" s="6"/>
      <c r="K39" s="6"/>
      <c r="L39" s="14" t="s">
        <v>45</v>
      </c>
      <c r="M39" s="9">
        <f>G33</f>
        <v>0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2">
        <v>38.0</v>
      </c>
      <c r="B40" s="9"/>
      <c r="C40" s="9"/>
      <c r="D40" s="9"/>
      <c r="E40" s="9"/>
      <c r="F40" s="9"/>
      <c r="G40" s="14">
        <v>5.0</v>
      </c>
      <c r="H40" s="9" t="str">
        <f t="shared" si="17"/>
        <v>ALLIANCE 1</v>
      </c>
      <c r="I40" s="9">
        <f>LARGE($M$36:$M$43,5)</f>
        <v>0</v>
      </c>
      <c r="J40" s="6"/>
      <c r="K40" s="6"/>
      <c r="L40" s="14" t="s">
        <v>46</v>
      </c>
      <c r="M40" s="9">
        <f>O33</f>
        <v>0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2">
        <v>39.0</v>
      </c>
      <c r="B41" s="9"/>
      <c r="C41" s="9"/>
      <c r="D41" s="9"/>
      <c r="E41" s="9"/>
      <c r="F41" s="9"/>
      <c r="G41" s="14">
        <v>6.0</v>
      </c>
      <c r="H41" s="9" t="str">
        <f t="shared" si="17"/>
        <v>ALLIANCE 1</v>
      </c>
      <c r="I41" s="9">
        <f>LARGE($M$36:$M$43,6)</f>
        <v>0</v>
      </c>
      <c r="J41" s="6"/>
      <c r="K41" s="6"/>
      <c r="L41" s="14" t="s">
        <v>44</v>
      </c>
      <c r="M41" s="9">
        <f>O25</f>
        <v>0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2">
        <v>40.0</v>
      </c>
      <c r="B42" s="9"/>
      <c r="C42" s="9"/>
      <c r="D42" s="9"/>
      <c r="E42" s="9"/>
      <c r="F42" s="9"/>
      <c r="G42" s="14">
        <v>7.0</v>
      </c>
      <c r="H42" s="9" t="str">
        <f t="shared" si="17"/>
        <v>ALLIANCE 1</v>
      </c>
      <c r="I42" s="9">
        <f>LARGE($M$36:$M$43,7)</f>
        <v>0</v>
      </c>
      <c r="J42" s="6"/>
      <c r="K42" s="6"/>
      <c r="L42" s="14" t="s">
        <v>42</v>
      </c>
      <c r="M42" s="9">
        <f>O17</f>
        <v>0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2">
        <v>41.0</v>
      </c>
      <c r="B43" s="9"/>
      <c r="C43" s="9"/>
      <c r="D43" s="9"/>
      <c r="E43" s="9"/>
      <c r="F43" s="9"/>
      <c r="G43" s="14">
        <v>8.0</v>
      </c>
      <c r="H43" s="9" t="str">
        <f t="shared" si="17"/>
        <v>ALLIANCE 1</v>
      </c>
      <c r="I43" s="9">
        <f>LARGE($M$36:$M$43,8)</f>
        <v>0</v>
      </c>
      <c r="J43" s="6"/>
      <c r="K43" s="6"/>
      <c r="L43" s="14" t="s">
        <v>39</v>
      </c>
      <c r="M43" s="9">
        <f>O9</f>
        <v>0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2">
        <v>42.0</v>
      </c>
      <c r="B44" s="9"/>
      <c r="C44" s="9"/>
      <c r="D44" s="9"/>
      <c r="E44" s="9"/>
      <c r="F44" s="9"/>
      <c r="G44" s="9"/>
      <c r="H44" s="9"/>
      <c r="I44" s="9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2">
        <v>43.0</v>
      </c>
      <c r="B45" s="9"/>
      <c r="C45" s="9"/>
      <c r="D45" s="9"/>
      <c r="E45" s="9"/>
      <c r="F45" s="9"/>
      <c r="G45" s="9"/>
      <c r="H45" s="9"/>
      <c r="I45" s="9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2">
        <v>44.0</v>
      </c>
      <c r="B46" s="9"/>
      <c r="C46" s="9"/>
      <c r="D46" s="9"/>
      <c r="E46" s="9"/>
      <c r="F46" s="9"/>
      <c r="G46" s="9"/>
      <c r="H46" s="9"/>
      <c r="I46" s="9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2">
        <v>45.0</v>
      </c>
      <c r="B47" s="9"/>
      <c r="C47" s="9"/>
      <c r="D47" s="9"/>
      <c r="E47" s="9"/>
      <c r="F47" s="9"/>
      <c r="G47" s="9"/>
      <c r="H47" s="9"/>
      <c r="I47" s="9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2">
        <v>46.0</v>
      </c>
      <c r="B48" s="9"/>
      <c r="C48" s="9"/>
      <c r="D48" s="9"/>
      <c r="E48" s="9"/>
      <c r="F48" s="9"/>
      <c r="G48" s="9"/>
      <c r="H48" s="9"/>
      <c r="I48" s="9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2">
        <v>47.0</v>
      </c>
      <c r="B49" s="9"/>
      <c r="C49" s="9"/>
      <c r="D49" s="9"/>
      <c r="E49" s="9"/>
      <c r="F49" s="9"/>
      <c r="G49" s="9"/>
      <c r="H49" s="9"/>
      <c r="I49" s="9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2">
        <v>48.0</v>
      </c>
      <c r="B50" s="9"/>
      <c r="C50" s="9"/>
      <c r="D50" s="9"/>
      <c r="E50" s="9"/>
      <c r="F50" s="9"/>
      <c r="G50" s="9"/>
      <c r="H50" s="9"/>
      <c r="I50" s="9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2">
        <v>49.0</v>
      </c>
      <c r="B51" s="9"/>
      <c r="C51" s="9"/>
      <c r="D51" s="9"/>
      <c r="E51" s="9"/>
      <c r="F51" s="9"/>
      <c r="G51" s="9"/>
      <c r="H51" s="9"/>
      <c r="I51" s="9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2">
        <v>50.0</v>
      </c>
      <c r="B52" s="9"/>
      <c r="C52" s="9"/>
      <c r="D52" s="9"/>
      <c r="E52" s="9"/>
      <c r="F52" s="9"/>
      <c r="G52" s="9"/>
      <c r="H52" s="9"/>
      <c r="I52" s="9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2">
        <v>51.0</v>
      </c>
      <c r="B53" s="9"/>
      <c r="C53" s="9"/>
      <c r="D53" s="9"/>
      <c r="E53" s="9"/>
      <c r="F53" s="9"/>
      <c r="G53" s="9"/>
      <c r="H53" s="9"/>
      <c r="I53" s="9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2">
        <v>52.0</v>
      </c>
      <c r="B54" s="9"/>
      <c r="C54" s="9"/>
      <c r="D54" s="9"/>
      <c r="E54" s="9"/>
      <c r="F54" s="9"/>
      <c r="G54" s="9"/>
      <c r="H54" s="9"/>
      <c r="I54" s="9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2">
        <v>53.0</v>
      </c>
      <c r="B55" s="9"/>
      <c r="C55" s="9"/>
      <c r="D55" s="9"/>
      <c r="E55" s="9"/>
      <c r="F55" s="9"/>
      <c r="G55" s="9"/>
      <c r="H55" s="9"/>
      <c r="I55" s="9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2">
        <v>54.0</v>
      </c>
      <c r="B56" s="9"/>
      <c r="C56" s="9"/>
      <c r="D56" s="9"/>
      <c r="E56" s="9"/>
      <c r="F56" s="9"/>
      <c r="G56" s="9"/>
      <c r="H56" s="9"/>
      <c r="I56" s="9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2">
        <v>55.0</v>
      </c>
      <c r="B57" s="9"/>
      <c r="C57" s="9"/>
      <c r="D57" s="9"/>
      <c r="E57" s="9"/>
      <c r="F57" s="9"/>
      <c r="G57" s="9"/>
      <c r="H57" s="9"/>
      <c r="I57" s="9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2">
        <v>56.0</v>
      </c>
      <c r="B58" s="9"/>
      <c r="C58" s="9"/>
      <c r="D58" s="9"/>
      <c r="E58" s="9"/>
      <c r="F58" s="9"/>
      <c r="G58" s="9"/>
      <c r="H58" s="9"/>
      <c r="I58" s="9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2">
        <v>57.0</v>
      </c>
      <c r="B59" s="9"/>
      <c r="C59" s="9"/>
      <c r="D59" s="9"/>
      <c r="E59" s="9"/>
      <c r="F59" s="9"/>
      <c r="G59" s="9"/>
      <c r="H59" s="9"/>
      <c r="I59" s="9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2">
        <v>58.0</v>
      </c>
      <c r="B60" s="9"/>
      <c r="C60" s="9"/>
      <c r="D60" s="9"/>
      <c r="E60" s="9"/>
      <c r="F60" s="9"/>
      <c r="G60" s="9"/>
      <c r="H60" s="9"/>
      <c r="I60" s="9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2">
        <v>59.0</v>
      </c>
      <c r="B61" s="9"/>
      <c r="C61" s="9"/>
      <c r="D61" s="9"/>
      <c r="E61" s="9"/>
      <c r="F61" s="9"/>
      <c r="G61" s="9"/>
      <c r="H61" s="9"/>
      <c r="I61" s="9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2">
        <v>60.0</v>
      </c>
      <c r="B62" s="9"/>
      <c r="C62" s="9"/>
      <c r="D62" s="9"/>
      <c r="E62" s="9"/>
      <c r="F62" s="9"/>
      <c r="G62" s="9"/>
      <c r="H62" s="9"/>
      <c r="I62" s="9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7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7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7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7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7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7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7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7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7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7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7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7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7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7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7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7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7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7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7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7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7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7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7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7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7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7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7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7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7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7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7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7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7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7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7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7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7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7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7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7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7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7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7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7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7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7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7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7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7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7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7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7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7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7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7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7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7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7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7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7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7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7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7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7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7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7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7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7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7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7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7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7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7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7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7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7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7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7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7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7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7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7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7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7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7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7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7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7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7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7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7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7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7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7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7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7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7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7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7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7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7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7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7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7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7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7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7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7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7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7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7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7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7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7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7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7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7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7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7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7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7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7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7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7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7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7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7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7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7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7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7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7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7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7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7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7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7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7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7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7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7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7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7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7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7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7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7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7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7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7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7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7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7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7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7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7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7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7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7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7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7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7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7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7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7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7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7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7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7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7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7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7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7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7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7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7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7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7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7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7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7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7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7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7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7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7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7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7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7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7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7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7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7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7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7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7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7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7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7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7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7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7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7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7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7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7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7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7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7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7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7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7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7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7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7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7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7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7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7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7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7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7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7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7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7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7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7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7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7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7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7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7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7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7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7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7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7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7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7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7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7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7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7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7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7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7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7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7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7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7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7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7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7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7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7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7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7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7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7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7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7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7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7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7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7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7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7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7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7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7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7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7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7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7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7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7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7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7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7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7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7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7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7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7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7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7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7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7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7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7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7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7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7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7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7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7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7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7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7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7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7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7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7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7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7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7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7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7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7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7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7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7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7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7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7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7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7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7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7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7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7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7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7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7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7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7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7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7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7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7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7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7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7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7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7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7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7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7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7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7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7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7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7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7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7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7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7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7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7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7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7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7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7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7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7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7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7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7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7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7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7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7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7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7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7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7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7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7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7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7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7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7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7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7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7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7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7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7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7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7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7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7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7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7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7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7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7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7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7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7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7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7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7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7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7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7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7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7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7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7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7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7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7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7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7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7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7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7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7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7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7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7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7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7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7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7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7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7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7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7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7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7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7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7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7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7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7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7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7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7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7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7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7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7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7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7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7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7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7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7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7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7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7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7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7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7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7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7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7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7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7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7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7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7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7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7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7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7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7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7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7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7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7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7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7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7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7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7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7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7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7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7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7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7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7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7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7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7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7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7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7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7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7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7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7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7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7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7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7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7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7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7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7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7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7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7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7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7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7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7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7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7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7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7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7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7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7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7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7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7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7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7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7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7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7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7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7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7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7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7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7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7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7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7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7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7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7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7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7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7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7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7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7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7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7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7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7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7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7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7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7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7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7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7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7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7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7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7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7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7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7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7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7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7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7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7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7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7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7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7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7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7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7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7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7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7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7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7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7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7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7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7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7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7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7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7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7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7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7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7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7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7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7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7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7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7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7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7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7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7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7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7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7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7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7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7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7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7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7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7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7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7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7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7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7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7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7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7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7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7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7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7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7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7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7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7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7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7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7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7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7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7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7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7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7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7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7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7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7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7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7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7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7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7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7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7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7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7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7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7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7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7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7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7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7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7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7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7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7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7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7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7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7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7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7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7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7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7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7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7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7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7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7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7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7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7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7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7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7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7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7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7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7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7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7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7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7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7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7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7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7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7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7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7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7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7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7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7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7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7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7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7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7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7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7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7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7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7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7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7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7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7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7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7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7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7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7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7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7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7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7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7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7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7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7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7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7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7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7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7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7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7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7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7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7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7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7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7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7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7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7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7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7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7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7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7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7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7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7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7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7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7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7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7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7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7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7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7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7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7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7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7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7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7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7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7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7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7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7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7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7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7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7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7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7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7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7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7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7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7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7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7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7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7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7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7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7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7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7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7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7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7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7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7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7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7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7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7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7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7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7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7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7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7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7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7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7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7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7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7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7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7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7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7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7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7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7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7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7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7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7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7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7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9">
    <mergeCell ref="C27:I27"/>
    <mergeCell ref="G35:I35"/>
    <mergeCell ref="C3:I3"/>
    <mergeCell ref="K3:Q3"/>
    <mergeCell ref="C11:I11"/>
    <mergeCell ref="K11:Q11"/>
    <mergeCell ref="C19:I19"/>
    <mergeCell ref="K19:Q19"/>
    <mergeCell ref="K27:Q2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5" max="5" width="12.13"/>
    <col customWidth="1" min="6" max="6" width="15.0"/>
    <col customWidth="1" min="7" max="7" width="14.13"/>
    <col customWidth="1" min="8" max="8" width="21.25"/>
    <col customWidth="1" min="9" max="9" width="13.38"/>
    <col customWidth="1" min="14" max="14" width="13.88"/>
    <col customWidth="1" min="16" max="16" width="17.13"/>
  </cols>
  <sheetData>
    <row r="1" ht="7.5" customHeight="1">
      <c r="A1" s="6"/>
      <c r="B1" s="7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2">
        <v>1.0</v>
      </c>
      <c r="B3" s="9"/>
      <c r="C3" s="23" t="s">
        <v>38</v>
      </c>
      <c r="D3" s="24"/>
      <c r="E3" s="24"/>
      <c r="F3" s="24"/>
      <c r="G3" s="24"/>
      <c r="H3" s="24"/>
      <c r="I3" s="25"/>
      <c r="J3" s="6"/>
      <c r="K3" s="23" t="s">
        <v>39</v>
      </c>
      <c r="L3" s="24"/>
      <c r="M3" s="24"/>
      <c r="N3" s="24"/>
      <c r="O3" s="24"/>
      <c r="P3" s="24"/>
      <c r="Q3" s="25"/>
      <c r="R3" s="6"/>
      <c r="S3" s="6"/>
      <c r="T3" s="6"/>
      <c r="U3" s="6"/>
      <c r="V3" s="6"/>
      <c r="W3" s="6"/>
      <c r="X3" s="6"/>
      <c r="Y3" s="6"/>
      <c r="Z3" s="6"/>
    </row>
    <row r="4">
      <c r="A4" s="12">
        <v>2.0</v>
      </c>
      <c r="B4" s="9"/>
      <c r="C4" s="26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27" t="s">
        <v>15</v>
      </c>
      <c r="J4" s="6"/>
      <c r="K4" s="26" t="s">
        <v>9</v>
      </c>
      <c r="L4" s="8" t="s">
        <v>10</v>
      </c>
      <c r="M4" s="8" t="s">
        <v>11</v>
      </c>
      <c r="N4" s="8" t="s">
        <v>12</v>
      </c>
      <c r="O4" s="8" t="s">
        <v>13</v>
      </c>
      <c r="P4" s="8" t="s">
        <v>14</v>
      </c>
      <c r="Q4" s="27" t="s">
        <v>15</v>
      </c>
      <c r="R4" s="6"/>
      <c r="S4" s="6"/>
      <c r="T4" s="6"/>
      <c r="U4" s="6"/>
      <c r="V4" s="6"/>
      <c r="W4" s="6"/>
      <c r="X4" s="6"/>
      <c r="Y4" s="6"/>
      <c r="Z4" s="6"/>
    </row>
    <row r="5">
      <c r="A5" s="12">
        <v>3.0</v>
      </c>
      <c r="B5" s="9"/>
      <c r="C5" s="28">
        <f>'RANK BY EPA'!D3</f>
        <v>5736</v>
      </c>
      <c r="D5" s="9">
        <f t="array" ref="D5">IFERROR(INDEX(Data!$B:$B, MATCH(C$5, Data!$A:$A, 0)), "")</f>
        <v>225.59</v>
      </c>
      <c r="E5" s="9">
        <f t="array" ref="E5">IFERROR(INDEX(Data!C:C, MATCH($C5, Data!$A:$A, 0)), "")</f>
        <v>63.46</v>
      </c>
      <c r="F5" s="9">
        <f t="array" ref="F5">IFERROR(INDEX(Data!D:D, MATCH($C5, Data!$A:$A, 0)), "")</f>
        <v>116.46</v>
      </c>
      <c r="G5" s="9">
        <f t="array" ref="G5">IFERROR(INDEX(Data!E:E, MATCH($C5, Data!$A:$A, 0)), "")</f>
        <v>45.66</v>
      </c>
      <c r="H5" s="9" t="str">
        <f t="shared" ref="H5:H7" si="1">INDIRECT("'"&amp;C5&amp;"'!M12")</f>
        <v>#REF!</v>
      </c>
      <c r="I5" s="29" t="str">
        <f t="shared" ref="I5:I7" si="2">INDIRECT("'"&amp;C5&amp;"'!j12")</f>
        <v>#REF!</v>
      </c>
      <c r="J5" s="6"/>
      <c r="K5" s="28">
        <f>'RANK BY EPA'!D17</f>
        <v>11030</v>
      </c>
      <c r="L5" s="9">
        <f t="array" ref="L5">IFERROR(INDEX(Data!$B:$B, MATCH(K5, Data!$A:$A, 0)), "")</f>
        <v>46.81</v>
      </c>
      <c r="M5" s="9" t="str">
        <f t="array" ref="M5">IFERROR(INDEX(Data!$B:$B, MATCH(L5, Data!$A:$A, 0)), "")</f>
        <v/>
      </c>
      <c r="N5" s="9" t="str">
        <f t="array" ref="N5">IFERROR(INDEX(Data!$B:$B, MATCH(M5, Data!$A:$A, 0)), "")</f>
        <v/>
      </c>
      <c r="O5" s="9" t="str">
        <f t="array" ref="O5">IFERROR(INDEX(Data!$B:$B, MATCH(N5, Data!$A:$A, 0)), "")</f>
        <v/>
      </c>
      <c r="P5" s="9" t="str">
        <f t="shared" ref="P5:P7" si="3">INDIRECT("'"&amp;K5&amp;"'!M12")</f>
        <v>#REF!</v>
      </c>
      <c r="Q5" s="29" t="str">
        <f t="shared" ref="Q5:Q7" si="4">INDIRECT("'"&amp;K5&amp;"'!j12")</f>
        <v>#REF!</v>
      </c>
      <c r="R5" s="6"/>
      <c r="S5" s="6"/>
      <c r="T5" s="6"/>
      <c r="U5" s="6"/>
      <c r="V5" s="6"/>
      <c r="W5" s="6"/>
      <c r="X5" s="6"/>
      <c r="Y5" s="6"/>
      <c r="Z5" s="6"/>
    </row>
    <row r="6">
      <c r="A6" s="12">
        <v>4.0</v>
      </c>
      <c r="B6" s="9"/>
      <c r="C6" s="28">
        <f>'RANK BY EPA'!D4</f>
        <v>870</v>
      </c>
      <c r="D6" s="9">
        <f t="array" ref="D6">IFERROR(INDEX(Data!B:B, MATCH($C6, Data!$A:$A, 0)), "")</f>
        <v>174.74</v>
      </c>
      <c r="E6" s="9">
        <f t="array" ref="E6">IFERROR(INDEX(Data!C:C, MATCH($C6, Data!$A:$A, 0)), "")</f>
        <v>46.69</v>
      </c>
      <c r="F6" s="9">
        <f t="array" ref="F6">IFERROR(INDEX(Data!D:D, MATCH($C6, Data!$A:$A, 0)), "")</f>
        <v>94.46</v>
      </c>
      <c r="G6" s="9">
        <f t="array" ref="G6">IFERROR(INDEX(Data!E:E, MATCH($C6, Data!$A:$A, 0)), "")</f>
        <v>33.59</v>
      </c>
      <c r="H6" s="9" t="str">
        <f t="shared" si="1"/>
        <v>#REF!</v>
      </c>
      <c r="I6" s="29" t="str">
        <f t="shared" si="2"/>
        <v>#REF!</v>
      </c>
      <c r="J6" s="6"/>
      <c r="K6" s="28">
        <f>'RANK BY EPA'!D18</f>
        <v>496</v>
      </c>
      <c r="L6" s="9">
        <f t="array" ref="L6">IFERROR(INDEX(Data!$B:$B, MATCH(K6, Data!$A:$A, 0)), "")</f>
        <v>46.7</v>
      </c>
      <c r="M6" s="9" t="str">
        <f t="array" ref="M6">IFERROR(INDEX(Data!$B:$B, MATCH(L6, Data!$A:$A, 0)), "")</f>
        <v/>
      </c>
      <c r="N6" s="9" t="str">
        <f t="array" ref="N6">IFERROR(INDEX(Data!$B:$B, MATCH(M6, Data!$A:$A, 0)), "")</f>
        <v/>
      </c>
      <c r="O6" s="9" t="str">
        <f t="array" ref="O6">IFERROR(INDEX(Data!$B:$B, MATCH(N6, Data!$A:$A, 0)), "")</f>
        <v/>
      </c>
      <c r="P6" s="9" t="str">
        <f t="shared" si="3"/>
        <v>#REF!</v>
      </c>
      <c r="Q6" s="29" t="str">
        <f t="shared" si="4"/>
        <v>#REF!</v>
      </c>
      <c r="R6" s="6"/>
      <c r="S6" s="6"/>
      <c r="T6" s="6"/>
      <c r="U6" s="6"/>
      <c r="V6" s="6"/>
      <c r="W6" s="6"/>
      <c r="X6" s="6"/>
      <c r="Y6" s="6"/>
      <c r="Z6" s="6"/>
    </row>
    <row r="7">
      <c r="A7" s="12">
        <v>5.0</v>
      </c>
      <c r="B7" s="9"/>
      <c r="C7" s="28">
        <f>'RANK BY EPA'!D26</f>
        <v>5016</v>
      </c>
      <c r="D7" s="9">
        <f t="array" ref="D7">IFERROR(INDEX(Data!B:B, MATCH($C7, Data!$A:$A, 0)), "")</f>
        <v>37.67</v>
      </c>
      <c r="E7" s="9">
        <f t="array" ref="E7">IFERROR(INDEX(Data!C:C, MATCH($C7, Data!$A:$A, 0)), "")</f>
        <v>5.71</v>
      </c>
      <c r="F7" s="9">
        <f t="array" ref="F7">IFERROR(INDEX(Data!D:D, MATCH($C7, Data!$A:$A, 0)), "")</f>
        <v>20.44</v>
      </c>
      <c r="G7" s="9">
        <f t="array" ref="G7">IFERROR(INDEX(Data!E:E, MATCH($C7, Data!$A:$A, 0)), "")</f>
        <v>11.52</v>
      </c>
      <c r="H7" s="9" t="str">
        <f t="shared" si="1"/>
        <v>#REF!</v>
      </c>
      <c r="I7" s="29" t="str">
        <f t="shared" si="2"/>
        <v>#REF!</v>
      </c>
      <c r="J7" s="6"/>
      <c r="K7" s="28">
        <f>'RANK BY EPA'!D19</f>
        <v>1554</v>
      </c>
      <c r="L7" s="9">
        <f t="array" ref="L7">IFERROR(INDEX(Data!$B:$B, MATCH(K7, Data!$A:$A, 0)), "")</f>
        <v>44.18</v>
      </c>
      <c r="M7" s="9" t="str">
        <f t="array" ref="M7">IFERROR(INDEX(Data!$B:$B, MATCH(L7, Data!$A:$A, 0)), "")</f>
        <v/>
      </c>
      <c r="N7" s="9" t="str">
        <f t="array" ref="N7">IFERROR(INDEX(Data!$B:$B, MATCH(M7, Data!$A:$A, 0)), "")</f>
        <v/>
      </c>
      <c r="O7" s="9" t="str">
        <f t="array" ref="O7">IFERROR(INDEX(Data!$B:$B, MATCH(N7, Data!$A:$A, 0)), "")</f>
        <v/>
      </c>
      <c r="P7" s="9" t="str">
        <f t="shared" si="3"/>
        <v>#REF!</v>
      </c>
      <c r="Q7" s="29" t="str">
        <f t="shared" si="4"/>
        <v>#REF!</v>
      </c>
      <c r="R7" s="6"/>
      <c r="S7" s="6"/>
      <c r="T7" s="6"/>
      <c r="U7" s="6"/>
      <c r="V7" s="6"/>
      <c r="W7" s="6"/>
      <c r="X7" s="6"/>
      <c r="Y7" s="6"/>
      <c r="Z7" s="6"/>
    </row>
    <row r="8" ht="7.5" customHeight="1">
      <c r="A8" s="12">
        <v>6.0</v>
      </c>
      <c r="B8" s="9"/>
      <c r="C8" s="30"/>
      <c r="D8" s="9"/>
      <c r="E8" s="9"/>
      <c r="F8" s="9"/>
      <c r="G8" s="9"/>
      <c r="H8" s="9"/>
      <c r="I8" s="29"/>
      <c r="J8" s="6"/>
      <c r="K8" s="30"/>
      <c r="L8" s="9"/>
      <c r="M8" s="9"/>
      <c r="N8" s="9"/>
      <c r="O8" s="9"/>
      <c r="P8" s="9"/>
      <c r="Q8" s="29"/>
      <c r="R8" s="6"/>
      <c r="S8" s="6"/>
      <c r="T8" s="6"/>
      <c r="U8" s="6"/>
      <c r="V8" s="6"/>
      <c r="W8" s="6"/>
      <c r="X8" s="6"/>
      <c r="Y8" s="6"/>
      <c r="Z8" s="6"/>
    </row>
    <row r="9">
      <c r="A9" s="12">
        <v>7.0</v>
      </c>
      <c r="B9" s="9"/>
      <c r="C9" s="31"/>
      <c r="D9" s="32"/>
      <c r="E9" s="32"/>
      <c r="F9" s="33" t="s">
        <v>40</v>
      </c>
      <c r="G9" s="34">
        <f>SUM(D5:D7)</f>
        <v>438</v>
      </c>
      <c r="H9" s="32"/>
      <c r="I9" s="35"/>
      <c r="J9" s="6"/>
      <c r="K9" s="31"/>
      <c r="L9" s="32"/>
      <c r="M9" s="32"/>
      <c r="N9" s="33" t="s">
        <v>40</v>
      </c>
      <c r="O9" s="34">
        <f>SUM(L5:L7)</f>
        <v>137.69</v>
      </c>
      <c r="P9" s="32"/>
      <c r="Q9" s="35"/>
      <c r="R9" s="6"/>
      <c r="S9" s="6"/>
      <c r="T9" s="6"/>
      <c r="U9" s="6"/>
      <c r="V9" s="6"/>
      <c r="W9" s="6"/>
      <c r="X9" s="6"/>
      <c r="Y9" s="6"/>
      <c r="Z9" s="6"/>
    </row>
    <row r="10">
      <c r="A10" s="12">
        <v>8.0</v>
      </c>
      <c r="B10" s="9"/>
      <c r="C10" s="9"/>
      <c r="D10" s="9"/>
      <c r="E10" s="9"/>
      <c r="F10" s="9"/>
      <c r="G10" s="9"/>
      <c r="H10" s="9"/>
      <c r="I10" s="9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>
        <v>9.0</v>
      </c>
      <c r="B11" s="9"/>
      <c r="C11" s="23" t="s">
        <v>41</v>
      </c>
      <c r="D11" s="24"/>
      <c r="E11" s="24"/>
      <c r="F11" s="24"/>
      <c r="G11" s="24"/>
      <c r="H11" s="24"/>
      <c r="I11" s="25"/>
      <c r="J11" s="6"/>
      <c r="K11" s="23" t="s">
        <v>42</v>
      </c>
      <c r="L11" s="24"/>
      <c r="M11" s="24"/>
      <c r="N11" s="24"/>
      <c r="O11" s="24"/>
      <c r="P11" s="24"/>
      <c r="Q11" s="25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>
        <v>10.0</v>
      </c>
      <c r="B12" s="9"/>
      <c r="C12" s="26" t="s">
        <v>9</v>
      </c>
      <c r="D12" s="8" t="s">
        <v>10</v>
      </c>
      <c r="E12" s="8" t="s">
        <v>11</v>
      </c>
      <c r="F12" s="8" t="s">
        <v>12</v>
      </c>
      <c r="G12" s="8" t="s">
        <v>13</v>
      </c>
      <c r="H12" s="8" t="s">
        <v>14</v>
      </c>
      <c r="I12" s="27" t="s">
        <v>15</v>
      </c>
      <c r="J12" s="6"/>
      <c r="K12" s="26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  <c r="Q12" s="27" t="s">
        <v>15</v>
      </c>
      <c r="R12" s="6"/>
      <c r="S12" s="6"/>
      <c r="T12" s="6"/>
      <c r="U12" s="6"/>
      <c r="V12" s="6"/>
      <c r="W12" s="6"/>
      <c r="X12" s="6"/>
      <c r="Y12" s="6"/>
      <c r="Z12" s="6"/>
    </row>
    <row r="13">
      <c r="A13" s="12">
        <v>11.0</v>
      </c>
      <c r="B13" s="9"/>
      <c r="C13" s="28">
        <f>'RANK BY EPA'!D5</f>
        <v>2638</v>
      </c>
      <c r="D13" s="9">
        <f t="array" ref="D13">IFERROR(INDEX(Data!B:B, MATCH($C13, Data!$A:$A, 0)), "")</f>
        <v>130.91</v>
      </c>
      <c r="E13" s="9">
        <f t="array" ref="E13">IFERROR(INDEX(Data!C:C, MATCH($C13, Data!$A:$A, 0)), "")</f>
        <v>28.57</v>
      </c>
      <c r="F13" s="9">
        <f t="array" ref="F13">IFERROR(INDEX(Data!D:D, MATCH($C13, Data!$A:$A, 0)), "")</f>
        <v>75.29</v>
      </c>
      <c r="G13" s="9">
        <f t="array" ref="G13">IFERROR(INDEX(Data!E:E, MATCH($C13, Data!$A:$A, 0)), "")</f>
        <v>27.06</v>
      </c>
      <c r="H13" s="9" t="str">
        <f t="shared" ref="H13:H15" si="5">INDIRECT("'"&amp;C13&amp;"'!M12")</f>
        <v>#REF!</v>
      </c>
      <c r="I13" s="29" t="str">
        <f t="shared" ref="I13:I15" si="6">INDIRECT("'"&amp;C13&amp;"'!j12")</f>
        <v>#REF!</v>
      </c>
      <c r="J13" s="6"/>
      <c r="K13" s="28">
        <f>'RANK BY EPA'!D15</f>
        <v>6423</v>
      </c>
      <c r="L13" s="9">
        <f t="array" ref="L13">IFERROR(INDEX(Data!$B:$B, MATCH(K13, Data!$A:$A, 0)), "")</f>
        <v>50.75</v>
      </c>
      <c r="M13" s="9" t="str">
        <f t="array" ref="M13">IFERROR(INDEX(Data!$B:$B, MATCH(L13, Data!$A:$A, 0)), "")</f>
        <v/>
      </c>
      <c r="N13" s="9" t="str">
        <f t="array" ref="N13">IFERROR(INDEX(Data!$B:$B, MATCH(M13, Data!$A:$A, 0)), "")</f>
        <v/>
      </c>
      <c r="O13" s="9" t="str">
        <f t="array" ref="O13">IFERROR(INDEX(Data!$B:$B, MATCH(N13, Data!$A:$A, 0)), "")</f>
        <v/>
      </c>
      <c r="P13" s="9" t="str">
        <f t="shared" ref="P13:P15" si="7">INDIRECT("'"&amp;K13&amp;"'!M12")</f>
        <v>#REF!</v>
      </c>
      <c r="Q13" s="29" t="str">
        <f t="shared" ref="Q13:Q15" si="8">INDIRECT("'"&amp;K13&amp;"'!j12")</f>
        <v>#REF!</v>
      </c>
      <c r="R13" s="6"/>
      <c r="S13" s="6"/>
      <c r="T13" s="6"/>
      <c r="U13" s="6"/>
      <c r="V13" s="6"/>
      <c r="W13" s="6"/>
      <c r="X13" s="6"/>
      <c r="Y13" s="6"/>
      <c r="Z13" s="6"/>
    </row>
    <row r="14">
      <c r="A14" s="12">
        <v>12.0</v>
      </c>
      <c r="B14" s="9"/>
      <c r="C14" s="28">
        <f>'RANK BY EPA'!D6</f>
        <v>8267</v>
      </c>
      <c r="D14" s="9">
        <f t="array" ref="D14">IFERROR(INDEX(Data!B:B, MATCH($C14, Data!$A:$A, 0)), "")</f>
        <v>124.23</v>
      </c>
      <c r="E14" s="9">
        <f t="array" ref="E14">IFERROR(INDEX(Data!C:C, MATCH($C14, Data!$A:$A, 0)), "")</f>
        <v>28.83</v>
      </c>
      <c r="F14" s="9">
        <f t="array" ref="F14">IFERROR(INDEX(Data!D:D, MATCH($C14, Data!$A:$A, 0)), "")</f>
        <v>67.1</v>
      </c>
      <c r="G14" s="9">
        <f t="array" ref="G14">IFERROR(INDEX(Data!E:E, MATCH($C14, Data!$A:$A, 0)), "")</f>
        <v>28.3</v>
      </c>
      <c r="H14" s="9" t="str">
        <f t="shared" si="5"/>
        <v>#REF!</v>
      </c>
      <c r="I14" s="29" t="str">
        <f t="shared" si="6"/>
        <v>#REF!</v>
      </c>
      <c r="J14" s="6"/>
      <c r="K14" s="28">
        <f>'RANK BY EPA'!D16</f>
        <v>2875</v>
      </c>
      <c r="L14" s="9">
        <f t="array" ref="L14">IFERROR(INDEX(Data!$B:$B, MATCH(K14, Data!$A:$A, 0)), "")</f>
        <v>48.38</v>
      </c>
      <c r="M14" s="9" t="str">
        <f t="array" ref="M14">IFERROR(INDEX(Data!$B:$B, MATCH(L14, Data!$A:$A, 0)), "")</f>
        <v/>
      </c>
      <c r="N14" s="9" t="str">
        <f t="array" ref="N14">IFERROR(INDEX(Data!$B:$B, MATCH(M14, Data!$A:$A, 0)), "")</f>
        <v/>
      </c>
      <c r="O14" s="9" t="str">
        <f t="array" ref="O14">IFERROR(INDEX(Data!$B:$B, MATCH(N14, Data!$A:$A, 0)), "")</f>
        <v/>
      </c>
      <c r="P14" s="9" t="str">
        <f t="shared" si="7"/>
        <v>#REF!</v>
      </c>
      <c r="Q14" s="29" t="str">
        <f t="shared" si="8"/>
        <v>#REF!</v>
      </c>
      <c r="R14" s="6"/>
      <c r="S14" s="6"/>
      <c r="T14" s="6"/>
      <c r="U14" s="6"/>
      <c r="V14" s="6"/>
      <c r="W14" s="6"/>
      <c r="X14" s="6"/>
      <c r="Y14" s="6"/>
      <c r="Z14" s="6"/>
    </row>
    <row r="15">
      <c r="A15" s="12">
        <v>13.0</v>
      </c>
      <c r="B15" s="9"/>
      <c r="C15" s="28">
        <f>'RANK BY EPA'!D25</f>
        <v>9646</v>
      </c>
      <c r="D15" s="9">
        <f t="array" ref="D15">IFERROR(INDEX(Data!B:B, MATCH($C15, Data!$A:$A, 0)), "")</f>
        <v>38.43</v>
      </c>
      <c r="E15" s="9">
        <f t="array" ref="E15">IFERROR(INDEX(Data!C:C, MATCH($C15, Data!$A:$A, 0)), "")</f>
        <v>7.46</v>
      </c>
      <c r="F15" s="9">
        <f t="array" ref="F15">IFERROR(INDEX(Data!D:D, MATCH($C15, Data!$A:$A, 0)), "")</f>
        <v>23</v>
      </c>
      <c r="G15" s="9">
        <f t="array" ref="G15">IFERROR(INDEX(Data!E:E, MATCH($C15, Data!$A:$A, 0)), "")</f>
        <v>7.98</v>
      </c>
      <c r="H15" s="9" t="str">
        <f t="shared" si="5"/>
        <v>#REF!</v>
      </c>
      <c r="I15" s="29" t="str">
        <f t="shared" si="6"/>
        <v>#REF!</v>
      </c>
      <c r="J15" s="6"/>
      <c r="K15" s="28">
        <f>'RANK BY EPA'!D20</f>
        <v>4458</v>
      </c>
      <c r="L15" s="9">
        <f t="array" ref="L15">IFERROR(INDEX(Data!$B:$B, MATCH(K15, Data!$A:$A, 0)), "")</f>
        <v>43.67</v>
      </c>
      <c r="M15" s="9" t="str">
        <f t="array" ref="M15">IFERROR(INDEX(Data!$B:$B, MATCH(L15, Data!$A:$A, 0)), "")</f>
        <v/>
      </c>
      <c r="N15" s="9" t="str">
        <f t="array" ref="N15">IFERROR(INDEX(Data!$B:$B, MATCH(M15, Data!$A:$A, 0)), "")</f>
        <v/>
      </c>
      <c r="O15" s="9" t="str">
        <f t="array" ref="O15">IFERROR(INDEX(Data!$B:$B, MATCH(N15, Data!$A:$A, 0)), "")</f>
        <v/>
      </c>
      <c r="P15" s="9" t="str">
        <f t="shared" si="7"/>
        <v>#REF!</v>
      </c>
      <c r="Q15" s="29" t="str">
        <f t="shared" si="8"/>
        <v>#REF!</v>
      </c>
      <c r="R15" s="6"/>
      <c r="S15" s="6"/>
      <c r="T15" s="6"/>
      <c r="U15" s="6"/>
      <c r="V15" s="6"/>
      <c r="W15" s="6"/>
      <c r="X15" s="6"/>
      <c r="Y15" s="6"/>
      <c r="Z15" s="6"/>
    </row>
    <row r="16" ht="6.0" customHeight="1">
      <c r="A16" s="12">
        <v>14.0</v>
      </c>
      <c r="B16" s="9"/>
      <c r="C16" s="30"/>
      <c r="D16" s="9"/>
      <c r="E16" s="9"/>
      <c r="F16" s="9"/>
      <c r="G16" s="9"/>
      <c r="H16" s="9"/>
      <c r="I16" s="29"/>
      <c r="J16" s="6"/>
      <c r="K16" s="30"/>
      <c r="L16" s="9"/>
      <c r="M16" s="9"/>
      <c r="N16" s="9"/>
      <c r="O16" s="9"/>
      <c r="P16" s="9"/>
      <c r="Q16" s="29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>
        <v>15.0</v>
      </c>
      <c r="B17" s="9"/>
      <c r="C17" s="31"/>
      <c r="D17" s="32"/>
      <c r="E17" s="32"/>
      <c r="F17" s="33" t="s">
        <v>40</v>
      </c>
      <c r="G17" s="34">
        <f>SUM(D13:D15)</f>
        <v>293.57</v>
      </c>
      <c r="H17" s="32"/>
      <c r="I17" s="35"/>
      <c r="J17" s="6"/>
      <c r="K17" s="31"/>
      <c r="L17" s="32"/>
      <c r="M17" s="32"/>
      <c r="N17" s="33" t="s">
        <v>40</v>
      </c>
      <c r="O17" s="34">
        <f>SUM(L13:L15)</f>
        <v>142.8</v>
      </c>
      <c r="P17" s="32"/>
      <c r="Q17" s="35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>
        <v>16.0</v>
      </c>
      <c r="B18" s="9"/>
      <c r="C18" s="9"/>
      <c r="D18" s="9"/>
      <c r="E18" s="9"/>
      <c r="F18" s="9"/>
      <c r="G18" s="9"/>
      <c r="H18" s="9"/>
      <c r="I18" s="9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>
        <v>17.0</v>
      </c>
      <c r="B19" s="9"/>
      <c r="C19" s="23" t="s">
        <v>43</v>
      </c>
      <c r="D19" s="24"/>
      <c r="E19" s="24"/>
      <c r="F19" s="24"/>
      <c r="G19" s="24"/>
      <c r="H19" s="24"/>
      <c r="I19" s="25"/>
      <c r="J19" s="6"/>
      <c r="K19" s="23" t="s">
        <v>44</v>
      </c>
      <c r="L19" s="24"/>
      <c r="M19" s="24"/>
      <c r="N19" s="24"/>
      <c r="O19" s="24"/>
      <c r="P19" s="24"/>
      <c r="Q19" s="25"/>
      <c r="R19" s="6"/>
      <c r="S19" s="6"/>
      <c r="T19" s="6"/>
      <c r="U19" s="6"/>
      <c r="V19" s="6"/>
      <c r="W19" s="6"/>
      <c r="X19" s="6"/>
      <c r="Y19" s="6"/>
      <c r="Z19" s="6"/>
    </row>
    <row r="20">
      <c r="A20" s="12">
        <v>18.0</v>
      </c>
      <c r="B20" s="9"/>
      <c r="C20" s="26" t="s">
        <v>9</v>
      </c>
      <c r="D20" s="8" t="s">
        <v>10</v>
      </c>
      <c r="E20" s="8" t="s">
        <v>11</v>
      </c>
      <c r="F20" s="8" t="s">
        <v>12</v>
      </c>
      <c r="G20" s="8" t="s">
        <v>13</v>
      </c>
      <c r="H20" s="8" t="s">
        <v>14</v>
      </c>
      <c r="I20" s="27" t="s">
        <v>15</v>
      </c>
      <c r="J20" s="6"/>
      <c r="K20" s="26" t="s">
        <v>9</v>
      </c>
      <c r="L20" s="8" t="s">
        <v>10</v>
      </c>
      <c r="M20" s="8" t="s">
        <v>11</v>
      </c>
      <c r="N20" s="8" t="s">
        <v>12</v>
      </c>
      <c r="O20" s="8" t="s">
        <v>13</v>
      </c>
      <c r="P20" s="8" t="s">
        <v>14</v>
      </c>
      <c r="Q20" s="27" t="s">
        <v>15</v>
      </c>
      <c r="R20" s="6"/>
      <c r="S20" s="6"/>
      <c r="T20" s="6"/>
      <c r="U20" s="6"/>
      <c r="V20" s="6"/>
      <c r="W20" s="6"/>
      <c r="X20" s="6"/>
      <c r="Y20" s="6"/>
      <c r="Z20" s="6"/>
    </row>
    <row r="21">
      <c r="A21" s="12">
        <v>19.0</v>
      </c>
      <c r="B21" s="9"/>
      <c r="C21" s="28">
        <f>'RANK BY EPA'!D7</f>
        <v>287</v>
      </c>
      <c r="D21" s="9">
        <f t="array" ref="D21">IFERROR(INDEX(Data!B:B, MATCH($C21, Data!$A:$A, 0)), "")</f>
        <v>121.73</v>
      </c>
      <c r="E21" s="9">
        <f t="array" ref="E21">IFERROR(INDEX(Data!C:C, MATCH($C21, Data!$A:$A, 0)), "")</f>
        <v>23.87</v>
      </c>
      <c r="F21" s="9">
        <f t="array" ref="F21">IFERROR(INDEX(Data!D:D, MATCH($C21, Data!$A:$A, 0)), "")</f>
        <v>76.37</v>
      </c>
      <c r="G21" s="9">
        <f t="array" ref="G21">IFERROR(INDEX(Data!E:E, MATCH($C21, Data!$A:$A, 0)), "")</f>
        <v>21.49</v>
      </c>
      <c r="H21" s="9" t="str">
        <f t="shared" ref="H21:H23" si="9">INDIRECT("'"&amp;C21&amp;"'!M12")</f>
        <v>#REF!</v>
      </c>
      <c r="I21" s="29" t="str">
        <f t="shared" ref="I21:I23" si="10">INDIRECT("'"&amp;C21&amp;"'!j12")</f>
        <v>#REF!</v>
      </c>
      <c r="J21" s="6"/>
      <c r="K21" s="28">
        <f>'RANK BY EPA'!D13</f>
        <v>358</v>
      </c>
      <c r="L21" s="9">
        <f t="array" ref="L21">IFERROR(INDEX(Data!$B:$B, MATCH(K21, Data!$A:$A, 0)), "")</f>
        <v>67.35</v>
      </c>
      <c r="M21" s="9" t="str">
        <f t="array" ref="M21">IFERROR(INDEX(Data!$B:$B, MATCH(L21, Data!$A:$A, 0)), "")</f>
        <v/>
      </c>
      <c r="N21" s="9" t="str">
        <f t="array" ref="N21">IFERROR(INDEX(Data!$B:$B, MATCH(M21, Data!$A:$A, 0)), "")</f>
        <v/>
      </c>
      <c r="O21" s="9" t="str">
        <f t="array" ref="O21">IFERROR(INDEX(Data!$B:$B, MATCH(N21, Data!$A:$A, 0)), "")</f>
        <v/>
      </c>
      <c r="P21" s="9" t="str">
        <f t="shared" ref="P21:P23" si="11">INDIRECT("'"&amp;K21&amp;"'!M12")</f>
        <v>#REF!</v>
      </c>
      <c r="Q21" s="29" t="str">
        <f t="shared" ref="Q21:Q23" si="12">INDIRECT("'"&amp;K21&amp;"'!j12")</f>
        <v>#REF!</v>
      </c>
      <c r="R21" s="6"/>
      <c r="S21" s="6"/>
      <c r="T21" s="6"/>
      <c r="U21" s="6"/>
      <c r="V21" s="6"/>
      <c r="W21" s="6"/>
      <c r="X21" s="6"/>
      <c r="Y21" s="6"/>
      <c r="Z21" s="6"/>
    </row>
    <row r="22">
      <c r="A22" s="12">
        <v>20.0</v>
      </c>
      <c r="B22" s="9"/>
      <c r="C22" s="28">
        <f>'RANK BY EPA'!D8</f>
        <v>2872</v>
      </c>
      <c r="D22" s="9">
        <f t="array" ref="D22">IFERROR(INDEX(Data!B:B, MATCH($C22, Data!$A:$A, 0)), "")</f>
        <v>113.91</v>
      </c>
      <c r="E22" s="9">
        <f t="array" ref="E22">IFERROR(INDEX(Data!C:C, MATCH($C22, Data!$A:$A, 0)), "")</f>
        <v>19.09</v>
      </c>
      <c r="F22" s="9">
        <f t="array" ref="F22">IFERROR(INDEX(Data!D:D, MATCH($C22, Data!$A:$A, 0)), "")</f>
        <v>70.65</v>
      </c>
      <c r="G22" s="9">
        <f t="array" ref="G22">IFERROR(INDEX(Data!E:E, MATCH($C22, Data!$A:$A, 0)), "")</f>
        <v>24.17</v>
      </c>
      <c r="H22" s="9" t="str">
        <f t="shared" si="9"/>
        <v>#REF!</v>
      </c>
      <c r="I22" s="29" t="str">
        <f t="shared" si="10"/>
        <v>#REF!</v>
      </c>
      <c r="J22" s="6"/>
      <c r="K22" s="28">
        <f>'RANK BY EPA'!D14</f>
        <v>353</v>
      </c>
      <c r="L22" s="9">
        <f t="array" ref="L22">IFERROR(INDEX(Data!$B:$B, MATCH(K22, Data!$A:$A, 0)), "")</f>
        <v>59.82</v>
      </c>
      <c r="M22" s="9" t="str">
        <f t="array" ref="M22">IFERROR(INDEX(Data!$B:$B, MATCH(L22, Data!$A:$A, 0)), "")</f>
        <v/>
      </c>
      <c r="N22" s="9" t="str">
        <f t="array" ref="N22">IFERROR(INDEX(Data!$B:$B, MATCH(M22, Data!$A:$A, 0)), "")</f>
        <v/>
      </c>
      <c r="O22" s="9" t="str">
        <f t="array" ref="O22">IFERROR(INDEX(Data!$B:$B, MATCH(N22, Data!$A:$A, 0)), "")</f>
        <v/>
      </c>
      <c r="P22" s="9" t="str">
        <f t="shared" si="11"/>
        <v>#REF!</v>
      </c>
      <c r="Q22" s="29" t="str">
        <f t="shared" si="12"/>
        <v>#REF!</v>
      </c>
      <c r="R22" s="6"/>
      <c r="S22" s="6"/>
      <c r="T22" s="6"/>
      <c r="U22" s="6"/>
      <c r="V22" s="6"/>
      <c r="W22" s="6"/>
      <c r="X22" s="6"/>
      <c r="Y22" s="6"/>
      <c r="Z22" s="6"/>
    </row>
    <row r="23">
      <c r="A23" s="12">
        <v>21.0</v>
      </c>
      <c r="B23" s="9"/>
      <c r="C23" s="28">
        <f>'RANK BY EPA'!D24</f>
        <v>871</v>
      </c>
      <c r="D23" s="9">
        <f t="array" ref="D23">IFERROR(INDEX(Data!B:B, MATCH($C23, Data!$A:$A, 0)), "")</f>
        <v>38.67</v>
      </c>
      <c r="E23" s="9">
        <f t="array" ref="E23">IFERROR(INDEX(Data!C:C, MATCH($C23, Data!$A:$A, 0)), "")</f>
        <v>13.07</v>
      </c>
      <c r="F23" s="9">
        <f t="array" ref="F23">IFERROR(INDEX(Data!D:D, MATCH($C23, Data!$A:$A, 0)), "")</f>
        <v>18.13</v>
      </c>
      <c r="G23" s="9">
        <f t="array" ref="G23">IFERROR(INDEX(Data!E:E, MATCH($C23, Data!$A:$A, 0)), "")</f>
        <v>7.46</v>
      </c>
      <c r="H23" s="9" t="str">
        <f t="shared" si="9"/>
        <v>#REF!</v>
      </c>
      <c r="I23" s="29" t="str">
        <f t="shared" si="10"/>
        <v>#REF!</v>
      </c>
      <c r="J23" s="6"/>
      <c r="K23" s="28">
        <f>'RANK BY EPA'!D21</f>
        <v>1468</v>
      </c>
      <c r="L23" s="9">
        <f t="array" ref="L23">IFERROR(INDEX(Data!$B:$B, MATCH(K23, Data!$A:$A, 0)), "")</f>
        <v>43.6</v>
      </c>
      <c r="M23" s="9" t="str">
        <f t="array" ref="M23">IFERROR(INDEX(Data!$B:$B, MATCH(L23, Data!$A:$A, 0)), "")</f>
        <v/>
      </c>
      <c r="N23" s="9" t="str">
        <f t="array" ref="N23">IFERROR(INDEX(Data!$B:$B, MATCH(M23, Data!$A:$A, 0)), "")</f>
        <v/>
      </c>
      <c r="O23" s="9" t="str">
        <f t="array" ref="O23">IFERROR(INDEX(Data!$B:$B, MATCH(N23, Data!$A:$A, 0)), "")</f>
        <v/>
      </c>
      <c r="P23" s="9" t="str">
        <f t="shared" si="11"/>
        <v>#REF!</v>
      </c>
      <c r="Q23" s="29" t="str">
        <f t="shared" si="12"/>
        <v>#REF!</v>
      </c>
      <c r="R23" s="6"/>
      <c r="S23" s="6"/>
      <c r="T23" s="6"/>
      <c r="U23" s="6"/>
      <c r="V23" s="6"/>
      <c r="W23" s="6"/>
      <c r="X23" s="6"/>
      <c r="Y23" s="6"/>
      <c r="Z23" s="6"/>
    </row>
    <row r="24" ht="6.75" customHeight="1">
      <c r="A24" s="12">
        <v>22.0</v>
      </c>
      <c r="B24" s="9"/>
      <c r="C24" s="30"/>
      <c r="D24" s="9"/>
      <c r="E24" s="9"/>
      <c r="F24" s="9"/>
      <c r="G24" s="9"/>
      <c r="H24" s="9"/>
      <c r="I24" s="29"/>
      <c r="J24" s="6"/>
      <c r="K24" s="30"/>
      <c r="L24" s="9"/>
      <c r="M24" s="9"/>
      <c r="N24" s="9"/>
      <c r="O24" s="9"/>
      <c r="P24" s="9"/>
      <c r="Q24" s="29"/>
      <c r="R24" s="6"/>
      <c r="S24" s="6"/>
      <c r="T24" s="6"/>
      <c r="U24" s="6"/>
      <c r="V24" s="6"/>
      <c r="W24" s="6"/>
      <c r="X24" s="6"/>
      <c r="Y24" s="6"/>
      <c r="Z24" s="6"/>
    </row>
    <row r="25">
      <c r="A25" s="12">
        <v>23.0</v>
      </c>
      <c r="B25" s="9"/>
      <c r="C25" s="31"/>
      <c r="D25" s="32"/>
      <c r="E25" s="32"/>
      <c r="F25" s="33" t="s">
        <v>40</v>
      </c>
      <c r="G25" s="34">
        <f>SUM(D21:D23)</f>
        <v>274.31</v>
      </c>
      <c r="H25" s="32"/>
      <c r="I25" s="35"/>
      <c r="J25" s="6"/>
      <c r="K25" s="31"/>
      <c r="L25" s="32"/>
      <c r="M25" s="32"/>
      <c r="N25" s="33" t="s">
        <v>40</v>
      </c>
      <c r="O25" s="34">
        <f>SUM(L21:L23)</f>
        <v>170.77</v>
      </c>
      <c r="P25" s="32"/>
      <c r="Q25" s="35"/>
      <c r="R25" s="6"/>
      <c r="S25" s="6"/>
      <c r="T25" s="6"/>
      <c r="U25" s="6"/>
      <c r="V25" s="6"/>
      <c r="W25" s="6"/>
      <c r="X25" s="6"/>
      <c r="Y25" s="6"/>
      <c r="Z25" s="6"/>
    </row>
    <row r="26">
      <c r="A26" s="12">
        <v>24.0</v>
      </c>
      <c r="B26" s="9"/>
      <c r="C26" s="9"/>
      <c r="D26" s="9"/>
      <c r="E26" s="9"/>
      <c r="F26" s="9"/>
      <c r="G26" s="9"/>
      <c r="H26" s="9"/>
      <c r="I26" s="9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2">
        <v>25.0</v>
      </c>
      <c r="B27" s="9"/>
      <c r="C27" s="23" t="s">
        <v>45</v>
      </c>
      <c r="D27" s="24"/>
      <c r="E27" s="24"/>
      <c r="F27" s="24"/>
      <c r="G27" s="24"/>
      <c r="H27" s="24"/>
      <c r="I27" s="25"/>
      <c r="J27" s="6"/>
      <c r="K27" s="23" t="s">
        <v>46</v>
      </c>
      <c r="L27" s="24"/>
      <c r="M27" s="24"/>
      <c r="N27" s="24"/>
      <c r="O27" s="24"/>
      <c r="P27" s="24"/>
      <c r="Q27" s="25"/>
      <c r="R27" s="6"/>
      <c r="S27" s="6"/>
      <c r="T27" s="6"/>
      <c r="U27" s="6"/>
      <c r="V27" s="6"/>
      <c r="W27" s="6"/>
      <c r="X27" s="6"/>
      <c r="Y27" s="6"/>
      <c r="Z27" s="6"/>
    </row>
    <row r="28">
      <c r="A28" s="12">
        <v>26.0</v>
      </c>
      <c r="B28" s="9"/>
      <c r="C28" s="26" t="s">
        <v>9</v>
      </c>
      <c r="D28" s="8" t="s">
        <v>10</v>
      </c>
      <c r="E28" s="8" t="s">
        <v>11</v>
      </c>
      <c r="F28" s="8" t="s">
        <v>12</v>
      </c>
      <c r="G28" s="8" t="s">
        <v>13</v>
      </c>
      <c r="H28" s="8" t="s">
        <v>14</v>
      </c>
      <c r="I28" s="27" t="s">
        <v>15</v>
      </c>
      <c r="J28" s="6"/>
      <c r="K28" s="26" t="s">
        <v>9</v>
      </c>
      <c r="L28" s="8" t="s">
        <v>10</v>
      </c>
      <c r="M28" s="8" t="s">
        <v>11</v>
      </c>
      <c r="N28" s="8" t="s">
        <v>12</v>
      </c>
      <c r="O28" s="8" t="s">
        <v>13</v>
      </c>
      <c r="P28" s="8" t="s">
        <v>14</v>
      </c>
      <c r="Q28" s="27" t="s">
        <v>15</v>
      </c>
      <c r="R28" s="6"/>
      <c r="S28" s="6"/>
      <c r="T28" s="6"/>
      <c r="U28" s="6"/>
      <c r="V28" s="6"/>
      <c r="W28" s="6"/>
      <c r="X28" s="6"/>
      <c r="Y28" s="6"/>
      <c r="Z28" s="6"/>
    </row>
    <row r="29">
      <c r="A29" s="12">
        <v>27.0</v>
      </c>
      <c r="B29" s="9"/>
      <c r="C29" s="28">
        <f>'RANK BY EPA'!D9</f>
        <v>263</v>
      </c>
      <c r="D29" s="9">
        <f t="array" ref="D29">IFERROR(INDEX(Data!B:B, MATCH($C29, Data!$A:$A, 0)), "")</f>
        <v>79.71</v>
      </c>
      <c r="E29" s="9">
        <f t="array" ref="E29">IFERROR(INDEX(Data!C:C, MATCH($C29, Data!$A:$A, 0)), "")</f>
        <v>17.33</v>
      </c>
      <c r="F29" s="9">
        <f t="array" ref="F29">IFERROR(INDEX(Data!D:D, MATCH($C29, Data!$A:$A, 0)), "")</f>
        <v>41.46</v>
      </c>
      <c r="G29" s="9">
        <f t="array" ref="G29">IFERROR(INDEX(Data!E:E, MATCH($C29, Data!$A:$A, 0)), "")</f>
        <v>20.92</v>
      </c>
      <c r="H29" s="9" t="str">
        <f t="shared" ref="H29:H31" si="13">INDIRECT("'"&amp;C29&amp;"'!M12")</f>
        <v/>
      </c>
      <c r="I29" s="29" t="str">
        <f t="shared" ref="I29:I31" si="14">INDIRECT("'"&amp;C29&amp;"'!j12")</f>
        <v/>
      </c>
      <c r="J29" s="6"/>
      <c r="K29" s="28">
        <f>'RANK BY EPA'!D11</f>
        <v>1880</v>
      </c>
      <c r="L29" s="9">
        <f t="array" ref="L29">IFERROR(INDEX(Data!$B:$B, MATCH(K29, Data!$A:$A, 0)), "")</f>
        <v>74.96</v>
      </c>
      <c r="M29" s="9" t="str">
        <f t="array" ref="M29">IFERROR(INDEX(Data!$B:$B, MATCH(L29, Data!$A:$A, 0)), "")</f>
        <v/>
      </c>
      <c r="N29" s="9" t="str">
        <f t="array" ref="N29">IFERROR(INDEX(Data!$B:$B, MATCH(M29, Data!$A:$A, 0)), "")</f>
        <v/>
      </c>
      <c r="O29" s="9" t="str">
        <f t="array" ref="O29">IFERROR(INDEX(Data!$B:$B, MATCH(N29, Data!$A:$A, 0)), "")</f>
        <v/>
      </c>
      <c r="P29" s="9" t="str">
        <f t="shared" ref="P29:P31" si="15">INDIRECT("'"&amp;K29&amp;"'!M12")</f>
        <v>#REF!</v>
      </c>
      <c r="Q29" s="29" t="str">
        <f t="shared" ref="Q29:Q31" si="16">INDIRECT("'"&amp;K29&amp;"'!j12")</f>
        <v>#REF!</v>
      </c>
      <c r="R29" s="6"/>
      <c r="S29" s="6"/>
      <c r="T29" s="6"/>
      <c r="U29" s="6"/>
      <c r="V29" s="6"/>
      <c r="W29" s="6"/>
      <c r="X29" s="6"/>
      <c r="Y29" s="6"/>
      <c r="Z29" s="6"/>
    </row>
    <row r="30">
      <c r="A30" s="12">
        <v>28.0</v>
      </c>
      <c r="B30" s="9"/>
      <c r="C30" s="28">
        <f>'RANK BY EPA'!D10</f>
        <v>3950</v>
      </c>
      <c r="D30" s="9">
        <f t="array" ref="D30">IFERROR(INDEX(Data!B:B, MATCH($C30, Data!$A:$A, 0)), "")</f>
        <v>77.52</v>
      </c>
      <c r="E30" s="9">
        <f t="array" ref="E30">IFERROR(INDEX(Data!C:C, MATCH($C30, Data!$A:$A, 0)), "")</f>
        <v>21.16</v>
      </c>
      <c r="F30" s="9">
        <f t="array" ref="F30">IFERROR(INDEX(Data!D:D, MATCH($C30, Data!$A:$A, 0)), "")</f>
        <v>42.31</v>
      </c>
      <c r="G30" s="9">
        <f t="array" ref="G30">IFERROR(INDEX(Data!E:E, MATCH($C30, Data!$A:$A, 0)), "")</f>
        <v>14.06</v>
      </c>
      <c r="H30" s="9" t="str">
        <f t="shared" si="13"/>
        <v>#REF!</v>
      </c>
      <c r="I30" s="29" t="str">
        <f t="shared" si="14"/>
        <v>#REF!</v>
      </c>
      <c r="J30" s="6"/>
      <c r="K30" s="28">
        <f>'RANK BY EPA'!D12</f>
        <v>810</v>
      </c>
      <c r="L30" s="14"/>
      <c r="M30" s="9" t="str">
        <f t="array" ref="M30">IFERROR(INDEX(Data!$B:$B, MATCH(L30, Data!$A:$A, 0)), "")</f>
        <v/>
      </c>
      <c r="N30" s="9" t="str">
        <f t="array" ref="N30">IFERROR(INDEX(Data!$B:$B, MATCH(M30, Data!$A:$A, 0)), "")</f>
        <v/>
      </c>
      <c r="O30" s="9" t="str">
        <f t="array" ref="O30">IFERROR(INDEX(Data!$B:$B, MATCH(N30, Data!$A:$A, 0)), "")</f>
        <v/>
      </c>
      <c r="P30" s="9" t="str">
        <f t="shared" si="15"/>
        <v>#REF!</v>
      </c>
      <c r="Q30" s="29" t="str">
        <f t="shared" si="16"/>
        <v>#REF!</v>
      </c>
      <c r="R30" s="6"/>
      <c r="S30" s="6"/>
      <c r="T30" s="6"/>
      <c r="U30" s="6"/>
      <c r="V30" s="6"/>
      <c r="W30" s="6"/>
      <c r="X30" s="6"/>
      <c r="Y30" s="6"/>
      <c r="Z30" s="6"/>
    </row>
    <row r="31">
      <c r="A31" s="12">
        <v>29.0</v>
      </c>
      <c r="B31" s="9"/>
      <c r="C31" s="28">
        <f>'RANK BY EPA'!D23</f>
        <v>9016</v>
      </c>
      <c r="D31" s="9">
        <f t="array" ref="D31">IFERROR(INDEX(Data!B:B, MATCH($C31, Data!$A:$A, 0)), "")</f>
        <v>39.71</v>
      </c>
      <c r="E31" s="9">
        <f t="array" ref="E31">IFERROR(INDEX(Data!C:C, MATCH($C31, Data!$A:$A, 0)), "")</f>
        <v>13.26</v>
      </c>
      <c r="F31" s="9">
        <f t="array" ref="F31">IFERROR(INDEX(Data!D:D, MATCH($C31, Data!$A:$A, 0)), "")</f>
        <v>15.76</v>
      </c>
      <c r="G31" s="9">
        <f t="array" ref="G31">IFERROR(INDEX(Data!E:E, MATCH($C31, Data!$A:$A, 0)), "")</f>
        <v>10.7</v>
      </c>
      <c r="H31" s="9" t="str">
        <f t="shared" si="13"/>
        <v>#REF!</v>
      </c>
      <c r="I31" s="29" t="str">
        <f t="shared" si="14"/>
        <v>#REF!</v>
      </c>
      <c r="J31" s="6"/>
      <c r="K31" s="28">
        <f>'RANK BY EPA'!D22</f>
        <v>2869</v>
      </c>
      <c r="L31" s="9">
        <f t="array" ref="L31">IFERROR(INDEX(Data!$B:$B, MATCH(K31, Data!$A:$A, 0)), "")</f>
        <v>41.7</v>
      </c>
      <c r="M31" s="9" t="str">
        <f t="array" ref="M31">IFERROR(INDEX(Data!$B:$B, MATCH(L31, Data!$A:$A, 0)), "")</f>
        <v/>
      </c>
      <c r="N31" s="9" t="str">
        <f t="array" ref="N31">IFERROR(INDEX(Data!$B:$B, MATCH(M31, Data!$A:$A, 0)), "")</f>
        <v/>
      </c>
      <c r="O31" s="9" t="str">
        <f t="array" ref="O31">IFERROR(INDEX(Data!$B:$B, MATCH(N31, Data!$A:$A, 0)), "")</f>
        <v/>
      </c>
      <c r="P31" s="9" t="str">
        <f t="shared" si="15"/>
        <v>#REF!</v>
      </c>
      <c r="Q31" s="29" t="str">
        <f t="shared" si="16"/>
        <v>#REF!</v>
      </c>
      <c r="R31" s="6"/>
      <c r="S31" s="6"/>
      <c r="T31" s="6"/>
      <c r="U31" s="6"/>
      <c r="V31" s="6"/>
      <c r="W31" s="6"/>
      <c r="X31" s="6"/>
      <c r="Y31" s="6"/>
      <c r="Z31" s="6"/>
    </row>
    <row r="32" ht="8.25" customHeight="1">
      <c r="A32" s="12">
        <v>30.0</v>
      </c>
      <c r="B32" s="9"/>
      <c r="C32" s="30"/>
      <c r="D32" s="9"/>
      <c r="E32" s="9"/>
      <c r="F32" s="9"/>
      <c r="G32" s="9"/>
      <c r="H32" s="9"/>
      <c r="I32" s="29"/>
      <c r="J32" s="6"/>
      <c r="K32" s="30"/>
      <c r="L32" s="9"/>
      <c r="M32" s="9"/>
      <c r="N32" s="9"/>
      <c r="O32" s="9"/>
      <c r="P32" s="9"/>
      <c r="Q32" s="29"/>
      <c r="R32" s="6"/>
      <c r="S32" s="6"/>
      <c r="T32" s="6"/>
      <c r="U32" s="6"/>
      <c r="V32" s="6"/>
      <c r="W32" s="6"/>
      <c r="X32" s="6"/>
      <c r="Y32" s="6"/>
      <c r="Z32" s="6"/>
    </row>
    <row r="33">
      <c r="A33" s="12">
        <v>31.0</v>
      </c>
      <c r="B33" s="9"/>
      <c r="C33" s="31"/>
      <c r="D33" s="32"/>
      <c r="E33" s="32"/>
      <c r="F33" s="33" t="s">
        <v>40</v>
      </c>
      <c r="G33" s="34">
        <f>SUM(D29:D31)</f>
        <v>196.94</v>
      </c>
      <c r="H33" s="32"/>
      <c r="I33" s="35"/>
      <c r="J33" s="6"/>
      <c r="K33" s="31"/>
      <c r="L33" s="32"/>
      <c r="M33" s="32"/>
      <c r="N33" s="33" t="s">
        <v>40</v>
      </c>
      <c r="O33" s="34">
        <f>SUM(L29:L31)</f>
        <v>116.66</v>
      </c>
      <c r="P33" s="32"/>
      <c r="Q33" s="35"/>
      <c r="R33" s="6"/>
      <c r="S33" s="6"/>
      <c r="T33" s="6"/>
      <c r="U33" s="6"/>
      <c r="V33" s="6"/>
      <c r="W33" s="6"/>
      <c r="X33" s="6"/>
      <c r="Y33" s="6"/>
      <c r="Z33" s="6"/>
    </row>
    <row r="34">
      <c r="A34" s="12">
        <v>32.0</v>
      </c>
      <c r="B34" s="9"/>
      <c r="C34" s="9"/>
      <c r="D34" s="9"/>
      <c r="E34" s="9"/>
      <c r="F34" s="9"/>
      <c r="G34" s="9"/>
      <c r="H34" s="9"/>
      <c r="I34" s="9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2">
        <v>33.0</v>
      </c>
      <c r="B35" s="9"/>
      <c r="C35" s="9"/>
      <c r="D35" s="9"/>
      <c r="E35" s="9"/>
      <c r="F35" s="9"/>
      <c r="G35" s="36" t="s">
        <v>47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2">
        <v>34.0</v>
      </c>
      <c r="B36" s="9"/>
      <c r="E36" s="9"/>
      <c r="F36" s="9"/>
      <c r="G36" s="14">
        <v>1.0</v>
      </c>
      <c r="H36" s="9" t="str">
        <f t="shared" ref="H36:H43" si="17">IFERROR(INDEX($L$36:$L$43, MATCH(I36, $M$36:$M$43, 0)), "")</f>
        <v>ALLIANCE 1</v>
      </c>
      <c r="I36" s="9">
        <f>LARGE($M$36:$M$43,1)</f>
        <v>438</v>
      </c>
      <c r="J36" s="6"/>
      <c r="K36" s="6"/>
      <c r="L36" s="14" t="s">
        <v>38</v>
      </c>
      <c r="M36" s="9">
        <f>G9</f>
        <v>438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2">
        <v>35.0</v>
      </c>
      <c r="B37" s="9"/>
      <c r="E37" s="9"/>
      <c r="F37" s="9"/>
      <c r="G37" s="14">
        <v>2.0</v>
      </c>
      <c r="H37" s="9" t="str">
        <f t="shared" si="17"/>
        <v>ALLIANCE 2</v>
      </c>
      <c r="I37" s="9">
        <f>LARGE($M$36:$M$43,2)</f>
        <v>293.57</v>
      </c>
      <c r="J37" s="6"/>
      <c r="K37" s="6"/>
      <c r="L37" s="14" t="s">
        <v>41</v>
      </c>
      <c r="M37" s="9">
        <f>G17</f>
        <v>293.57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2">
        <v>36.0</v>
      </c>
      <c r="B38" s="9"/>
      <c r="E38" s="9"/>
      <c r="F38" s="9"/>
      <c r="G38" s="14">
        <v>3.0</v>
      </c>
      <c r="H38" s="9" t="str">
        <f t="shared" si="17"/>
        <v>ALLIANCE 3</v>
      </c>
      <c r="I38" s="9">
        <f>LARGE($M$36:$M$43,3)</f>
        <v>274.31</v>
      </c>
      <c r="J38" s="6"/>
      <c r="K38" s="6"/>
      <c r="L38" s="14" t="s">
        <v>43</v>
      </c>
      <c r="M38" s="9">
        <f>G25</f>
        <v>274.31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2">
        <v>37.0</v>
      </c>
      <c r="B39" s="9"/>
      <c r="E39" s="9"/>
      <c r="F39" s="9"/>
      <c r="G39" s="14">
        <v>4.0</v>
      </c>
      <c r="H39" s="9" t="str">
        <f t="shared" si="17"/>
        <v>ALLIANCE 4</v>
      </c>
      <c r="I39" s="9">
        <f>LARGE($M$36:$M$43,4)</f>
        <v>196.94</v>
      </c>
      <c r="J39" s="6"/>
      <c r="K39" s="6"/>
      <c r="L39" s="14" t="s">
        <v>45</v>
      </c>
      <c r="M39" s="9">
        <f>G33</f>
        <v>196.94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2">
        <v>38.0</v>
      </c>
      <c r="B40" s="9"/>
      <c r="E40" s="9"/>
      <c r="F40" s="9"/>
      <c r="G40" s="14">
        <v>5.0</v>
      </c>
      <c r="H40" s="9" t="str">
        <f t="shared" si="17"/>
        <v>ALLIANCE 6</v>
      </c>
      <c r="I40" s="9">
        <f>LARGE($M$36:$M$43,5)</f>
        <v>170.77</v>
      </c>
      <c r="J40" s="6"/>
      <c r="K40" s="6"/>
      <c r="L40" s="14" t="s">
        <v>46</v>
      </c>
      <c r="M40" s="9">
        <f>O33</f>
        <v>116.66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2">
        <v>39.0</v>
      </c>
      <c r="B41" s="9"/>
      <c r="E41" s="9"/>
      <c r="F41" s="9"/>
      <c r="G41" s="14">
        <v>6.0</v>
      </c>
      <c r="H41" s="9" t="str">
        <f t="shared" si="17"/>
        <v>ALLIANCE 7</v>
      </c>
      <c r="I41" s="9">
        <f>LARGE($M$36:$M$43,6)</f>
        <v>142.8</v>
      </c>
      <c r="J41" s="6"/>
      <c r="K41" s="6"/>
      <c r="L41" s="14" t="s">
        <v>44</v>
      </c>
      <c r="M41" s="9">
        <f>O25</f>
        <v>170.77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2">
        <v>40.0</v>
      </c>
      <c r="B42" s="9"/>
      <c r="E42" s="9"/>
      <c r="F42" s="9"/>
      <c r="G42" s="14">
        <v>7.0</v>
      </c>
      <c r="H42" s="9" t="str">
        <f t="shared" si="17"/>
        <v>ALLIANCE 8</v>
      </c>
      <c r="I42" s="9">
        <f>LARGE($M$36:$M$43,7)</f>
        <v>137.69</v>
      </c>
      <c r="J42" s="6"/>
      <c r="K42" s="6"/>
      <c r="L42" s="14" t="s">
        <v>42</v>
      </c>
      <c r="M42" s="9">
        <f>O17</f>
        <v>142.8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2">
        <v>41.0</v>
      </c>
      <c r="B43" s="9"/>
      <c r="E43" s="9"/>
      <c r="F43" s="9"/>
      <c r="G43" s="14">
        <v>8.0</v>
      </c>
      <c r="H43" s="9" t="str">
        <f t="shared" si="17"/>
        <v>ALLIANCE 5</v>
      </c>
      <c r="I43" s="9">
        <f>LARGE($M$36:$M$43,8)</f>
        <v>116.66</v>
      </c>
      <c r="J43" s="6"/>
      <c r="K43" s="6"/>
      <c r="L43" s="14" t="s">
        <v>39</v>
      </c>
      <c r="M43" s="9">
        <f>O9</f>
        <v>137.69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2">
        <v>42.0</v>
      </c>
      <c r="B44" s="9"/>
      <c r="C44" s="14"/>
      <c r="D44" s="9"/>
      <c r="E44" s="9"/>
      <c r="F44" s="9"/>
      <c r="G44" s="9"/>
      <c r="H44" s="9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2">
        <v>43.0</v>
      </c>
      <c r="B45" s="9"/>
      <c r="C45" s="9"/>
      <c r="D45" s="9"/>
      <c r="E45" s="9"/>
      <c r="F45" s="9"/>
      <c r="G45" s="9"/>
      <c r="H45" s="9"/>
      <c r="I45" s="9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2">
        <v>44.0</v>
      </c>
      <c r="B46" s="9"/>
      <c r="C46" s="9"/>
      <c r="D46" s="9"/>
      <c r="E46" s="9"/>
      <c r="F46" s="9"/>
      <c r="G46" s="9"/>
      <c r="H46" s="9"/>
      <c r="I46" s="9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2">
        <v>45.0</v>
      </c>
      <c r="B47" s="9"/>
      <c r="C47" s="9"/>
      <c r="D47" s="9"/>
      <c r="E47" s="9"/>
      <c r="F47" s="9"/>
      <c r="G47" s="9"/>
      <c r="H47" s="9"/>
      <c r="I47" s="9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2">
        <v>46.0</v>
      </c>
      <c r="B48" s="9"/>
      <c r="C48" s="9"/>
      <c r="D48" s="9"/>
      <c r="E48" s="9"/>
      <c r="F48" s="9"/>
      <c r="G48" s="9"/>
      <c r="H48" s="9"/>
      <c r="I48" s="9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2">
        <v>47.0</v>
      </c>
      <c r="B49" s="9"/>
      <c r="C49" s="9"/>
      <c r="D49" s="9"/>
      <c r="E49" s="9"/>
      <c r="F49" s="9"/>
      <c r="G49" s="9"/>
      <c r="H49" s="9"/>
      <c r="I49" s="9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2">
        <v>48.0</v>
      </c>
      <c r="B50" s="9"/>
      <c r="C50" s="9"/>
      <c r="D50" s="9"/>
      <c r="E50" s="9"/>
      <c r="F50" s="9"/>
      <c r="G50" s="9"/>
      <c r="H50" s="9"/>
      <c r="I50" s="9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2">
        <v>49.0</v>
      </c>
      <c r="B51" s="9"/>
      <c r="C51" s="9"/>
      <c r="D51" s="9"/>
      <c r="E51" s="9"/>
      <c r="F51" s="9"/>
      <c r="G51" s="9"/>
      <c r="H51" s="9"/>
      <c r="I51" s="9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2">
        <v>50.0</v>
      </c>
      <c r="B52" s="9"/>
      <c r="C52" s="9"/>
      <c r="D52" s="9"/>
      <c r="E52" s="9"/>
      <c r="F52" s="9"/>
      <c r="G52" s="9"/>
      <c r="H52" s="9"/>
      <c r="I52" s="9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2">
        <v>51.0</v>
      </c>
      <c r="B53" s="9"/>
      <c r="C53" s="9"/>
      <c r="D53" s="9"/>
      <c r="E53" s="9"/>
      <c r="F53" s="9"/>
      <c r="G53" s="9"/>
      <c r="H53" s="9"/>
      <c r="I53" s="9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2">
        <v>52.0</v>
      </c>
      <c r="B54" s="9"/>
      <c r="C54" s="9"/>
      <c r="D54" s="9"/>
      <c r="E54" s="9"/>
      <c r="F54" s="9"/>
      <c r="G54" s="9"/>
      <c r="H54" s="9"/>
      <c r="I54" s="9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2">
        <v>53.0</v>
      </c>
      <c r="B55" s="9"/>
      <c r="C55" s="9"/>
      <c r="D55" s="9"/>
      <c r="E55" s="9"/>
      <c r="F55" s="9"/>
      <c r="G55" s="9"/>
      <c r="H55" s="9"/>
      <c r="I55" s="9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2">
        <v>54.0</v>
      </c>
      <c r="B56" s="9"/>
      <c r="C56" s="9"/>
      <c r="D56" s="9"/>
      <c r="E56" s="9"/>
      <c r="F56" s="9"/>
      <c r="G56" s="9"/>
      <c r="H56" s="9"/>
      <c r="I56" s="9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2">
        <v>55.0</v>
      </c>
      <c r="B57" s="9"/>
      <c r="C57" s="9"/>
      <c r="D57" s="9"/>
      <c r="E57" s="9"/>
      <c r="F57" s="9"/>
      <c r="G57" s="9"/>
      <c r="H57" s="9"/>
      <c r="I57" s="9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2">
        <v>56.0</v>
      </c>
      <c r="B58" s="9"/>
      <c r="C58" s="9"/>
      <c r="D58" s="9"/>
      <c r="E58" s="9"/>
      <c r="F58" s="9"/>
      <c r="G58" s="9"/>
      <c r="H58" s="9"/>
      <c r="I58" s="9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2">
        <v>57.0</v>
      </c>
      <c r="B59" s="9"/>
      <c r="C59" s="9"/>
      <c r="D59" s="9"/>
      <c r="E59" s="9"/>
      <c r="F59" s="9"/>
      <c r="G59" s="9"/>
      <c r="H59" s="9"/>
      <c r="I59" s="9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2">
        <v>58.0</v>
      </c>
      <c r="B60" s="9"/>
      <c r="C60" s="9"/>
      <c r="D60" s="9"/>
      <c r="E60" s="9"/>
      <c r="F60" s="9"/>
      <c r="G60" s="9"/>
      <c r="H60" s="9"/>
      <c r="I60" s="9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2">
        <v>59.0</v>
      </c>
      <c r="B61" s="9"/>
      <c r="C61" s="9"/>
      <c r="D61" s="9"/>
      <c r="E61" s="9"/>
      <c r="F61" s="9"/>
      <c r="G61" s="9"/>
      <c r="H61" s="9"/>
      <c r="I61" s="9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2">
        <v>60.0</v>
      </c>
      <c r="B62" s="9"/>
      <c r="C62" s="9"/>
      <c r="D62" s="9"/>
      <c r="E62" s="9"/>
      <c r="F62" s="9"/>
      <c r="G62" s="9"/>
      <c r="H62" s="9"/>
      <c r="I62" s="9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7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7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7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7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7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7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7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7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7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7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7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7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7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7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7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7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7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7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7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7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7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7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7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7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7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7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7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7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7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7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7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7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7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7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7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7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7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7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7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7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7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7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7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7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7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7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7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7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7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7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7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7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7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7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7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7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7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7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7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7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7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7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7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7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7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7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7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7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7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7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7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7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7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7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7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7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7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7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7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7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7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7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7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7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7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7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7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7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7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7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7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7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7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7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7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7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7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7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7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7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7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7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7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7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7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7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7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7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7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7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7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7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7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7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7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7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7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7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7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7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7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7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7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7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7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7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7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7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7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7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7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7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7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7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7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7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7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7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7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7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7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7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7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7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7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7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7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7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7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7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7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7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7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7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7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7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7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7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7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7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7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7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7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7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7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7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7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7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7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7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7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7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7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7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7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7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7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7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7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7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7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7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7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7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7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7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7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7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7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7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7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7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7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7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7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7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7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7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7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7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7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7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7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7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7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7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7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7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7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7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7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7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7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7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7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7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7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7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7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7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7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7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7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7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7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7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7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7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7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7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7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7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7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7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7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7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7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7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7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7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7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7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7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7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7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7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7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7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7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7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7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7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7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7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7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7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7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7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7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7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7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7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7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7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7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7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7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7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7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7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7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7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7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7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7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7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7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7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7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7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7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7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7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7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7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7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7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7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7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7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7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7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7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7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7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7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7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7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7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7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7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7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7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7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7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7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7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7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7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7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7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7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7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7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7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7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7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7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7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7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7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7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7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7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7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7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7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7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7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7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7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7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7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7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7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7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7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7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7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7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7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7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7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7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7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7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7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7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7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7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7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7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7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7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7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7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7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7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7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7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7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7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7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7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7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7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7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7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7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7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7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7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7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7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7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7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7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7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7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7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7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7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7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7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7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7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7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7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7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7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7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7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7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7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7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7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7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7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7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7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7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7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7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7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7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7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7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7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7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7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7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7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7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7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7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7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7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7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7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7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7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7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7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7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7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7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7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7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7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7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7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7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7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7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7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7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7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7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7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7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7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7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7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7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7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7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7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7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7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7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7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7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7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7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7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7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7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7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7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7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7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7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7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7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7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7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7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7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7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7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7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7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7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7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7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7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7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7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7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7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7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7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7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7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7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7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7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7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7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7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7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7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7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7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7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7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7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7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7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7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7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7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7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7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7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7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7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7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7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7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7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7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7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7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7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7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7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7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7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7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7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7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7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7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7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7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7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7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7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7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7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7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7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7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7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7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7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7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7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7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7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7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7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7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7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7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7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7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7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7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7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7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7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7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7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7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7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7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7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7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7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7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7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7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7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7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7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7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7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7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7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7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7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7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7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7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7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7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7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7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7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7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7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7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7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7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7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7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7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7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7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7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7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7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7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7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7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7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7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7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7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7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7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7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7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7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7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7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7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7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7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7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7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7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7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7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7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7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7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7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7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7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7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7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7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7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7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7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7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7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7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7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7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7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7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7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7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7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7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7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7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7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7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7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7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7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7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7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7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7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7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7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7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7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7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7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7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7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7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7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7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7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7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7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7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7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7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7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7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7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7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7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7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7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7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7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7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7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7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7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7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7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7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7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7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7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7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7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7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7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7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7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7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7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7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7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7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7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7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7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7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7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7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7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7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7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7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7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7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7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7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7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7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7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7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7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7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7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7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7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7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7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7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7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7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7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7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7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7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7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7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7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7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7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7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7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7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7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7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7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7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7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7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7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7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7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7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7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7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7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7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7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7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7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7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7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7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7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7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7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7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7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7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7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7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7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7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7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7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7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7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7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7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7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7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7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7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7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7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7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7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7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7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7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7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7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7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7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7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7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7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7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7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7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7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7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7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7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7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7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7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7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7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7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7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7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7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7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7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7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7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7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7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9">
    <mergeCell ref="C27:I27"/>
    <mergeCell ref="G35:I35"/>
    <mergeCell ref="C3:I3"/>
    <mergeCell ref="K3:Q3"/>
    <mergeCell ref="C11:I11"/>
    <mergeCell ref="K11:Q11"/>
    <mergeCell ref="C19:I19"/>
    <mergeCell ref="K19:Q19"/>
    <mergeCell ref="K27:Q2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0.25"/>
    <col customWidth="1" min="6" max="6" width="20.5"/>
    <col customWidth="1" min="7" max="7" width="18.38"/>
    <col customWidth="1" min="9" max="9" width="17.5"/>
    <col customWidth="1" min="11" max="11" width="11.88"/>
    <col customWidth="1" min="12" max="12" width="19.25"/>
  </cols>
  <sheetData>
    <row r="1" ht="8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ht="23.25" customHeight="1">
      <c r="A2" s="9"/>
      <c r="B2" s="33" t="s">
        <v>23</v>
      </c>
      <c r="C2" s="37"/>
      <c r="D2" s="9"/>
      <c r="E2" s="9"/>
      <c r="F2" s="38" t="s">
        <v>48</v>
      </c>
      <c r="G2" s="39"/>
      <c r="H2" s="40"/>
      <c r="I2" s="40"/>
      <c r="J2" s="40"/>
      <c r="K2" s="40"/>
      <c r="L2" s="40"/>
      <c r="M2" s="40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23.25" customHeight="1">
      <c r="A3" s="9"/>
      <c r="B3" s="9"/>
      <c r="C3" s="9"/>
      <c r="D3" s="9"/>
      <c r="E3" s="9"/>
      <c r="F3" s="38" t="s">
        <v>49</v>
      </c>
      <c r="G3" s="4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23.25" customHeight="1">
      <c r="A4" s="9"/>
      <c r="B4" s="33" t="s">
        <v>10</v>
      </c>
      <c r="C4" s="37" t="str">
        <f t="array" ref="C4">IFERROR(INDEX(Data!B:B, MATCH($C$2, Data!A:A, 0)), "")</f>
        <v/>
      </c>
      <c r="D4" s="9"/>
      <c r="E4" s="9"/>
      <c r="F4" s="38" t="s">
        <v>50</v>
      </c>
      <c r="G4" s="39"/>
      <c r="H4" s="9"/>
      <c r="I4" s="1"/>
      <c r="J4" s="1"/>
      <c r="K4" s="9"/>
      <c r="L4" s="14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23.25" customHeight="1">
      <c r="A5" s="9"/>
      <c r="B5" s="9"/>
      <c r="C5" s="9"/>
      <c r="D5" s="9"/>
      <c r="E5" s="9"/>
      <c r="F5" s="38" t="s">
        <v>51</v>
      </c>
      <c r="G5" s="41"/>
      <c r="H5" s="9"/>
      <c r="I5" s="1"/>
      <c r="J5" s="1"/>
      <c r="K5" s="9"/>
      <c r="L5" s="14"/>
      <c r="M5" s="14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23.25" customHeight="1">
      <c r="A6" s="9"/>
      <c r="B6" s="42" t="s">
        <v>11</v>
      </c>
      <c r="C6" s="37" t="str">
        <f t="array" ref="C6">IFERROR(INDEX(Data!C:C, MATCH($C$2, Data!A:A, 0)), "")</f>
        <v/>
      </c>
      <c r="D6" s="9"/>
      <c r="E6" s="9"/>
      <c r="H6" s="9"/>
      <c r="I6" s="14"/>
      <c r="J6" s="14"/>
      <c r="K6" s="9"/>
      <c r="L6" s="14"/>
      <c r="M6" s="14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ht="23.25" customHeight="1">
      <c r="A7" s="9"/>
      <c r="B7" s="9"/>
      <c r="C7" s="14"/>
      <c r="D7" s="9"/>
      <c r="E7" s="9"/>
      <c r="F7" s="38" t="s">
        <v>52</v>
      </c>
      <c r="G7" s="39"/>
      <c r="H7" s="9"/>
      <c r="I7" s="14"/>
      <c r="J7" s="14"/>
      <c r="K7" s="9"/>
      <c r="L7" s="14"/>
      <c r="M7" s="14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ht="23.25" customHeight="1">
      <c r="A8" s="9"/>
      <c r="B8" s="33" t="s">
        <v>24</v>
      </c>
      <c r="C8" s="37" t="str">
        <f t="array" ref="C8">IFERROR(INDEX(Data!D:D, MATCH($C$2, Data!A:A, 0)), "")</f>
        <v/>
      </c>
      <c r="D8" s="9"/>
      <c r="E8" s="9"/>
      <c r="F8" s="28" t="s">
        <v>53</v>
      </c>
      <c r="G8" s="43"/>
      <c r="H8" s="9"/>
      <c r="I8" s="14"/>
      <c r="J8" s="14"/>
      <c r="K8" s="9"/>
      <c r="L8" s="14"/>
      <c r="M8" s="14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ht="23.25" customHeight="1">
      <c r="A9" s="9"/>
      <c r="B9" s="9"/>
      <c r="C9" s="9"/>
      <c r="D9" s="9"/>
      <c r="E9" s="9"/>
      <c r="F9" s="28" t="s">
        <v>54</v>
      </c>
      <c r="G9" s="43"/>
      <c r="H9" s="9"/>
      <c r="I9" s="14"/>
      <c r="J9" s="14"/>
      <c r="K9" s="9"/>
      <c r="L9" s="14"/>
      <c r="M9" s="14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ht="23.25" customHeight="1">
      <c r="A10" s="9"/>
      <c r="B10" s="33" t="s">
        <v>25</v>
      </c>
      <c r="C10" s="37" t="str">
        <f t="array" ref="C10">IFERROR(INDEX(Data!E:E, MATCH($C$2, Data!A:A, 0)), "")</f>
        <v/>
      </c>
      <c r="D10" s="9"/>
      <c r="E10" s="9"/>
      <c r="F10" s="38" t="s">
        <v>55</v>
      </c>
      <c r="G10" s="39"/>
      <c r="H10" s="9"/>
      <c r="I10" s="14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ht="23.25" customHeight="1">
      <c r="A11" s="9"/>
      <c r="B11" s="9"/>
      <c r="C11" s="9"/>
      <c r="D11" s="9"/>
      <c r="E11" s="9"/>
      <c r="F11" s="38" t="s">
        <v>56</v>
      </c>
      <c r="G11" s="41"/>
      <c r="H11" s="9"/>
      <c r="I11" s="14"/>
      <c r="J11" s="14"/>
      <c r="K11" s="9"/>
      <c r="L11" s="1"/>
      <c r="M11" s="1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ht="23.25" customHeight="1">
      <c r="A12" s="9"/>
      <c r="B12" s="33" t="s">
        <v>57</v>
      </c>
      <c r="C12" s="37" t="str">
        <f t="array" ref="C12">IFERROR(INDEX(Data!F:F, MATCH($C$2, Data!A:A, 0)), "")</f>
        <v/>
      </c>
      <c r="D12" s="9"/>
      <c r="E12" s="9"/>
      <c r="F12" s="28" t="s">
        <v>58</v>
      </c>
      <c r="G12" s="43"/>
      <c r="H12" s="9"/>
      <c r="I12" s="14"/>
      <c r="J12" s="14"/>
      <c r="K12" s="9"/>
      <c r="L12" s="1"/>
      <c r="M12" s="1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ht="23.25" customHeight="1">
      <c r="A13" s="9"/>
      <c r="B13" s="9"/>
      <c r="C13" s="9"/>
      <c r="D13" s="9"/>
      <c r="E13" s="9"/>
      <c r="F13" s="33" t="s">
        <v>59</v>
      </c>
      <c r="G13" s="25"/>
      <c r="H13" s="9"/>
      <c r="I13" s="1"/>
      <c r="J13" s="1"/>
      <c r="K13" s="9"/>
      <c r="L13" s="1"/>
      <c r="M13" s="1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ht="23.25" customHeight="1">
      <c r="A14" s="9"/>
      <c r="B14" s="9"/>
      <c r="C14" s="9"/>
      <c r="D14" s="9"/>
      <c r="E14" s="9"/>
      <c r="F14" s="38" t="s">
        <v>60</v>
      </c>
      <c r="G14" s="43"/>
      <c r="H14" s="9"/>
      <c r="I14" s="1"/>
      <c r="J14" s="1"/>
      <c r="K14" s="9"/>
      <c r="L14" s="14"/>
      <c r="M14" s="14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ht="23.25" customHeight="1">
      <c r="A15" s="9"/>
      <c r="B15" s="9"/>
      <c r="C15" s="9"/>
      <c r="D15" s="9"/>
      <c r="E15" s="9"/>
      <c r="F15" s="28" t="s">
        <v>61</v>
      </c>
      <c r="G15" s="43"/>
      <c r="H15" s="9"/>
      <c r="I15" s="14"/>
      <c r="J15" s="14"/>
      <c r="K15" s="9"/>
      <c r="L15" s="14"/>
      <c r="M15" s="14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ht="23.25" customHeight="1">
      <c r="A16" s="9"/>
      <c r="B16" s="9"/>
      <c r="C16" s="9"/>
      <c r="D16" s="9"/>
      <c r="E16" s="9"/>
      <c r="F16" s="28" t="s">
        <v>62</v>
      </c>
      <c r="G16" s="43"/>
      <c r="H16" s="9"/>
      <c r="I16" s="14"/>
      <c r="J16" s="14"/>
      <c r="K16" s="9"/>
      <c r="L16" s="14"/>
      <c r="M16" s="14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ht="23.25" customHeight="1">
      <c r="A17" s="9"/>
      <c r="B17" s="9"/>
      <c r="C17" s="9"/>
      <c r="D17" s="9"/>
      <c r="E17" s="9"/>
      <c r="F17" s="28" t="s">
        <v>33</v>
      </c>
      <c r="G17" s="43"/>
      <c r="H17" s="9"/>
      <c r="I17" s="1"/>
      <c r="J17" s="1"/>
      <c r="K17" s="9"/>
      <c r="L17" s="14"/>
      <c r="M17" s="14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ht="23.25" customHeight="1">
      <c r="A18" s="9"/>
      <c r="B18" s="9"/>
      <c r="C18" s="9"/>
      <c r="D18" s="9"/>
      <c r="E18" s="9"/>
      <c r="F18" s="28" t="s">
        <v>63</v>
      </c>
      <c r="G18" s="43"/>
      <c r="H18" s="9"/>
      <c r="I18" s="1"/>
      <c r="J18" s="1"/>
      <c r="K18" s="9"/>
      <c r="L18" s="14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ht="23.25" customHeight="1">
      <c r="A19" s="9"/>
      <c r="B19" s="9"/>
      <c r="C19" s="9"/>
      <c r="D19" s="9"/>
      <c r="E19" s="9"/>
      <c r="F19" s="44" t="s">
        <v>64</v>
      </c>
      <c r="G19" s="45"/>
      <c r="H19" s="9"/>
      <c r="I19" s="14"/>
      <c r="J19" s="14"/>
      <c r="K19" s="9"/>
      <c r="L19" s="1"/>
      <c r="M19" s="1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ht="23.25" customHeight="1">
      <c r="A20" s="9"/>
      <c r="B20" s="9"/>
      <c r="C20" s="9"/>
      <c r="D20" s="9"/>
      <c r="E20" s="9"/>
      <c r="F20" s="1"/>
      <c r="G20" s="1"/>
      <c r="H20" s="9"/>
      <c r="I20" s="14"/>
      <c r="J20" s="9"/>
      <c r="K20" s="9"/>
      <c r="L20" s="1"/>
      <c r="M20" s="1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ht="23.25" customHeight="1">
      <c r="A21" s="9"/>
      <c r="B21" s="9"/>
      <c r="C21" s="9"/>
      <c r="D21" s="9"/>
      <c r="E21" s="9"/>
      <c r="F21" s="1"/>
      <c r="G21" s="1"/>
      <c r="H21" s="9"/>
      <c r="I21" s="9"/>
      <c r="J21" s="9"/>
      <c r="K21" s="9"/>
      <c r="L21" s="1"/>
      <c r="M21" s="1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ht="23.25" customHeight="1">
      <c r="A22" s="9"/>
      <c r="B22" s="9"/>
      <c r="C22" s="9"/>
      <c r="D22" s="9"/>
      <c r="E22" s="9"/>
      <c r="F22" s="14"/>
      <c r="G22" s="9"/>
      <c r="H22" s="9"/>
      <c r="I22" s="9"/>
      <c r="J22" s="9"/>
      <c r="K22" s="9"/>
      <c r="L22" s="1"/>
      <c r="M22" s="1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ht="23.25" customHeight="1">
      <c r="A23" s="9"/>
      <c r="B23" s="9"/>
      <c r="C23" s="9"/>
      <c r="D23" s="9"/>
      <c r="E23" s="9"/>
      <c r="F23" s="14"/>
      <c r="G23" s="9"/>
      <c r="H23" s="9"/>
      <c r="I23" s="9"/>
      <c r="J23" s="9"/>
      <c r="K23" s="9"/>
      <c r="L23" s="1"/>
      <c r="M23" s="1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ht="23.2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1"/>
      <c r="M24" s="1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ht="23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1"/>
      <c r="M25" s="1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ht="23.2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ht="23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ht="23.2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ht="23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ht="23.2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ht="23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ht="23.2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ht="23.2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ht="23.2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ht="23.2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ht="23.2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ht="23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ht="23.2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ht="23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ht="23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ht="23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ht="23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ht="23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ht="23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ht="23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ht="23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ht="23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ht="23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ht="23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ht="23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ht="23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ht="23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ht="23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ht="23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ht="23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ht="23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ht="23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ht="23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ht="23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ht="23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ht="23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ht="23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ht="23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ht="23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ht="23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ht="23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ht="23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ht="23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ht="23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ht="23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ht="23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ht="23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ht="23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ht="23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ht="23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ht="23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ht="23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ht="23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ht="23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ht="23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ht="23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ht="23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ht="23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ht="23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ht="23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ht="23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ht="23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ht="23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ht="23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ht="23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ht="23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ht="23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ht="23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ht="23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ht="23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ht="23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ht="23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ht="23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ht="23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ht="23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ht="23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ht="23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ht="23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ht="23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ht="23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ht="23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ht="23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ht="23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ht="23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ht="23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ht="23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ht="23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ht="23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ht="23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ht="23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ht="23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ht="23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ht="23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ht="23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ht="23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ht="23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ht="23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ht="23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ht="23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ht="23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ht="23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ht="23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ht="23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ht="23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ht="23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ht="23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ht="23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ht="23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ht="23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ht="23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ht="23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ht="23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ht="23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ht="23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ht="23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ht="23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ht="23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ht="23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ht="23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ht="23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ht="23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ht="23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ht="23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ht="23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ht="23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ht="23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ht="23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ht="23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ht="23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ht="23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ht="23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ht="23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ht="23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ht="23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ht="23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ht="23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ht="23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ht="23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ht="23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ht="23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ht="23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ht="23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ht="23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ht="23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ht="23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ht="23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ht="23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ht="23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ht="23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ht="23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ht="23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ht="23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ht="23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ht="23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ht="23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ht="23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ht="23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ht="23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ht="23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ht="23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ht="23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ht="23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ht="23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ht="23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ht="23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ht="23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ht="23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ht="23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ht="23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ht="23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ht="23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ht="23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ht="23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ht="23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ht="23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ht="23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ht="23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ht="23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ht="23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ht="23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ht="23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ht="23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ht="23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ht="23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ht="23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ht="23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ht="23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ht="23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ht="23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ht="23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ht="23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ht="23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ht="23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ht="23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ht="23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ht="23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ht="23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ht="23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ht="23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ht="23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ht="23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ht="23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ht="23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ht="23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ht="23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ht="23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ht="23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ht="23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ht="23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ht="23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ht="23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ht="23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ht="23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ht="23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ht="23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ht="23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ht="23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ht="23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ht="23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ht="23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ht="23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ht="23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ht="23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ht="23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ht="23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ht="23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ht="23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ht="23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ht="23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ht="23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ht="23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ht="23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ht="23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ht="23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ht="23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ht="23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ht="23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ht="23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ht="23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ht="23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ht="23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ht="23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ht="23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ht="23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ht="23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ht="23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ht="23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ht="23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ht="23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ht="23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ht="23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ht="23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ht="23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ht="23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ht="23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ht="23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ht="23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ht="23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ht="23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ht="23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ht="23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ht="23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ht="23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ht="23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ht="23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ht="23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ht="23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ht="23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ht="23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ht="23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ht="23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ht="23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ht="23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ht="23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ht="23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ht="23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ht="23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ht="23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ht="23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ht="23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ht="23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ht="23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ht="23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ht="23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ht="23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ht="23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ht="23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ht="23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ht="23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ht="23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ht="23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ht="23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ht="23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ht="23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ht="23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ht="23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ht="23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ht="23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ht="23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ht="23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ht="23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ht="23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ht="23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ht="23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ht="23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ht="23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ht="23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ht="23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ht="23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ht="23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ht="23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ht="23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ht="23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ht="23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ht="23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ht="23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ht="23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ht="23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ht="23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ht="23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ht="23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ht="23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ht="23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ht="23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ht="23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ht="23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ht="23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ht="23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ht="23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ht="23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ht="23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ht="23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ht="23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ht="23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ht="23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ht="23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ht="23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ht="23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ht="23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ht="23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ht="23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ht="23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ht="23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ht="23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ht="23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ht="23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ht="23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ht="23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ht="23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ht="23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ht="23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ht="23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ht="23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ht="23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ht="23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ht="23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ht="23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ht="23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ht="23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ht="23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ht="23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ht="23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ht="23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ht="23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ht="23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ht="23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ht="23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ht="23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 ht="23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 ht="23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 ht="23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 ht="23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 ht="23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ht="23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 ht="23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 ht="23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 ht="23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 ht="23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 ht="23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 ht="23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ht="23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ht="23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 ht="23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 ht="23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 ht="23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 ht="23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 ht="23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 ht="23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 ht="23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 ht="23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 ht="23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 ht="23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 ht="23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 ht="23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 ht="23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 ht="23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 ht="23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 ht="23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 ht="23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 ht="23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 ht="23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 ht="23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 ht="23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 ht="23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 ht="23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 ht="23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 ht="23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 ht="23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 ht="23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 ht="23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 ht="23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 ht="23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 ht="23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ht="23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 ht="23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 ht="23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 ht="23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 ht="23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 ht="23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 ht="23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 ht="23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 ht="23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 ht="23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 ht="23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 ht="23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 ht="23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 ht="23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 ht="23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 ht="23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 ht="23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 ht="23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 ht="23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 ht="23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 ht="23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 ht="23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 ht="23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 ht="23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 ht="23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 ht="23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 ht="23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 ht="23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 ht="23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 ht="23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 ht="23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 ht="23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 ht="23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 ht="23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 ht="23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</sheetData>
  <mergeCells count="6">
    <mergeCell ref="F2:G2"/>
    <mergeCell ref="F4:G4"/>
    <mergeCell ref="L4:M4"/>
    <mergeCell ref="F7:G7"/>
    <mergeCell ref="F10:G10"/>
    <mergeCell ref="F13:G13"/>
  </mergeCells>
  <dataValidations>
    <dataValidation type="list" allowBlank="1" showErrorMessage="1" sqref="G11">
      <formula1>"FRAME,TURRET,NONE"</formula1>
    </dataValidation>
    <dataValidation type="list" allowBlank="1" showErrorMessage="1" sqref="G17">
      <formula1>"3,2.5,2,1.5,1,.5,0"</formula1>
    </dataValidation>
    <dataValidation type="list" allowBlank="1" showErrorMessage="1" sqref="G5">
      <formula1>"SWERVE,MECANUM ,TANK"</formula1>
    </dataValidation>
    <dataValidation type="list" allowBlank="1" showErrorMessage="1" sqref="G9 G14:G16 G18:G19">
      <formula1>"YES,NO"</formula1>
    </dataValidation>
    <dataValidation type="list" allowBlank="1" showErrorMessage="1" sqref="G12">
      <formula1>"DRUM,4 LANES,3 LANES,2 LANES,1 LANE,NONE"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0.25"/>
    <col customWidth="1" min="6" max="6" width="20.5"/>
    <col customWidth="1" min="7" max="7" width="18.38"/>
    <col customWidth="1" min="9" max="9" width="17.5"/>
    <col customWidth="1" min="11" max="11" width="11.88"/>
    <col customWidth="1" min="12" max="12" width="19.25"/>
  </cols>
  <sheetData>
    <row r="1" ht="8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ht="23.25" customHeight="1">
      <c r="A2" s="9"/>
      <c r="B2" s="33" t="s">
        <v>23</v>
      </c>
      <c r="C2" s="37">
        <v>263.0</v>
      </c>
      <c r="D2" s="9"/>
      <c r="E2" s="9"/>
      <c r="F2" s="38" t="s">
        <v>48</v>
      </c>
      <c r="G2" s="39"/>
      <c r="H2" s="40"/>
      <c r="I2" s="40"/>
      <c r="J2" s="40"/>
      <c r="K2" s="40"/>
      <c r="L2" s="40"/>
      <c r="M2" s="40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23.25" customHeight="1">
      <c r="A3" s="9"/>
      <c r="B3" s="9"/>
      <c r="C3" s="9"/>
      <c r="D3" s="9"/>
      <c r="E3" s="9"/>
      <c r="F3" s="38" t="s">
        <v>49</v>
      </c>
      <c r="G3" s="41">
        <v>109.0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23.25" customHeight="1">
      <c r="A4" s="9"/>
      <c r="B4" s="33" t="s">
        <v>10</v>
      </c>
      <c r="C4" s="37">
        <f t="array" ref="C4">IFERROR(INDEX(Data!B:B, MATCH($C$2, Data!A:A, 0)), "")</f>
        <v>79.71</v>
      </c>
      <c r="D4" s="9"/>
      <c r="E4" s="9"/>
      <c r="F4" s="38" t="s">
        <v>50</v>
      </c>
      <c r="G4" s="39"/>
      <c r="H4" s="9"/>
      <c r="I4" s="1"/>
      <c r="J4" s="1"/>
      <c r="K4" s="9"/>
      <c r="L4" s="14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23.25" customHeight="1">
      <c r="A5" s="9"/>
      <c r="B5" s="9"/>
      <c r="C5" s="9"/>
      <c r="D5" s="9"/>
      <c r="E5" s="9"/>
      <c r="F5" s="38" t="s">
        <v>51</v>
      </c>
      <c r="G5" s="41" t="s">
        <v>65</v>
      </c>
      <c r="H5" s="9"/>
      <c r="I5" s="1"/>
      <c r="J5" s="1"/>
      <c r="K5" s="9"/>
      <c r="L5" s="14"/>
      <c r="M5" s="14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23.25" customHeight="1">
      <c r="A6" s="9"/>
      <c r="B6" s="42" t="s">
        <v>11</v>
      </c>
      <c r="C6" s="37">
        <f t="array" ref="C6">IFERROR(INDEX(Data!C:C, MATCH($C$2, Data!A:A, 0)), "")</f>
        <v>17.33</v>
      </c>
      <c r="D6" s="9"/>
      <c r="E6" s="9"/>
      <c r="F6" s="38" t="s">
        <v>15</v>
      </c>
      <c r="G6" s="41" t="s">
        <v>66</v>
      </c>
      <c r="H6" s="9"/>
      <c r="I6" s="14"/>
      <c r="J6" s="14"/>
      <c r="K6" s="9"/>
      <c r="L6" s="14"/>
      <c r="M6" s="14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ht="23.25" customHeight="1">
      <c r="A7" s="9"/>
      <c r="B7" s="9"/>
      <c r="C7" s="14"/>
      <c r="D7" s="9"/>
      <c r="E7" s="9"/>
      <c r="F7" s="38" t="s">
        <v>52</v>
      </c>
      <c r="G7" s="39"/>
      <c r="H7" s="9"/>
      <c r="I7" s="14"/>
      <c r="J7" s="14"/>
      <c r="K7" s="9"/>
      <c r="L7" s="14"/>
      <c r="M7" s="14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ht="23.25" customHeight="1">
      <c r="A8" s="9"/>
      <c r="B8" s="33" t="s">
        <v>24</v>
      </c>
      <c r="C8" s="37">
        <f t="array" ref="C8">IFERROR(INDEX(Data!D:D, MATCH($C$2, Data!A:A, 0)), "")</f>
        <v>41.46</v>
      </c>
      <c r="D8" s="9"/>
      <c r="E8" s="9"/>
      <c r="F8" s="28" t="s">
        <v>53</v>
      </c>
      <c r="G8" s="43">
        <v>40.0</v>
      </c>
      <c r="H8" s="9"/>
      <c r="I8" s="14"/>
      <c r="J8" s="14"/>
      <c r="K8" s="9"/>
      <c r="L8" s="14"/>
      <c r="M8" s="14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ht="23.25" customHeight="1">
      <c r="A9" s="9"/>
      <c r="B9" s="9"/>
      <c r="C9" s="9"/>
      <c r="D9" s="9"/>
      <c r="E9" s="9"/>
      <c r="F9" s="28" t="s">
        <v>54</v>
      </c>
      <c r="G9" s="43" t="s">
        <v>66</v>
      </c>
      <c r="H9" s="9"/>
      <c r="I9" s="14"/>
      <c r="J9" s="14"/>
      <c r="K9" s="9"/>
      <c r="L9" s="14"/>
      <c r="M9" s="14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ht="23.25" customHeight="1">
      <c r="A10" s="9"/>
      <c r="B10" s="33" t="s">
        <v>25</v>
      </c>
      <c r="C10" s="37">
        <f t="array" ref="C10">IFERROR(INDEX(Data!E:E, MATCH($C$2, Data!A:A, 0)), "")</f>
        <v>20.92</v>
      </c>
      <c r="D10" s="9"/>
      <c r="E10" s="9"/>
      <c r="F10" s="38" t="s">
        <v>55</v>
      </c>
      <c r="G10" s="39"/>
      <c r="H10" s="9"/>
      <c r="I10" s="14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ht="23.25" customHeight="1">
      <c r="A11" s="9"/>
      <c r="B11" s="9"/>
      <c r="C11" s="9"/>
      <c r="D11" s="9"/>
      <c r="E11" s="9"/>
      <c r="F11" s="38" t="s">
        <v>56</v>
      </c>
      <c r="G11" s="41" t="s">
        <v>67</v>
      </c>
      <c r="H11" s="9"/>
      <c r="I11" s="14"/>
      <c r="J11" s="14"/>
      <c r="K11" s="9"/>
      <c r="L11" s="1"/>
      <c r="M11" s="1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ht="23.25" customHeight="1">
      <c r="A12" s="9"/>
      <c r="B12" s="33" t="s">
        <v>57</v>
      </c>
      <c r="C12" s="37">
        <f t="array" ref="C12">IFERROR(INDEX(Data!F:F, MATCH($C$2, Data!A:A, 0)), "")</f>
        <v>12</v>
      </c>
      <c r="D12" s="9"/>
      <c r="E12" s="9"/>
      <c r="F12" s="28" t="s">
        <v>58</v>
      </c>
      <c r="G12" s="43" t="s">
        <v>68</v>
      </c>
      <c r="H12" s="9"/>
      <c r="I12" s="14"/>
      <c r="J12" s="14"/>
      <c r="K12" s="9"/>
      <c r="L12" s="1"/>
      <c r="M12" s="1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ht="23.25" customHeight="1">
      <c r="A13" s="9"/>
      <c r="B13" s="9"/>
      <c r="C13" s="9"/>
      <c r="D13" s="9"/>
      <c r="E13" s="9"/>
      <c r="F13" s="33" t="s">
        <v>59</v>
      </c>
      <c r="G13" s="25"/>
      <c r="H13" s="9"/>
      <c r="I13" s="1"/>
      <c r="J13" s="1"/>
      <c r="K13" s="9"/>
      <c r="L13" s="1"/>
      <c r="M13" s="1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ht="23.25" customHeight="1">
      <c r="A14" s="9"/>
      <c r="B14" s="9"/>
      <c r="C14" s="9"/>
      <c r="D14" s="9"/>
      <c r="E14" s="9"/>
      <c r="F14" s="38" t="s">
        <v>60</v>
      </c>
      <c r="G14" s="43" t="s">
        <v>66</v>
      </c>
      <c r="H14" s="9"/>
      <c r="I14" s="1"/>
      <c r="J14" s="1"/>
      <c r="K14" s="9"/>
      <c r="L14" s="14"/>
      <c r="M14" s="14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ht="23.25" customHeight="1">
      <c r="A15" s="9"/>
      <c r="B15" s="9"/>
      <c r="C15" s="9"/>
      <c r="D15" s="9"/>
      <c r="E15" s="9"/>
      <c r="F15" s="28" t="s">
        <v>61</v>
      </c>
      <c r="G15" s="43" t="s">
        <v>66</v>
      </c>
      <c r="H15" s="9"/>
      <c r="I15" s="14"/>
      <c r="J15" s="14"/>
      <c r="K15" s="9"/>
      <c r="L15" s="14"/>
      <c r="M15" s="14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ht="23.25" customHeight="1">
      <c r="A16" s="9"/>
      <c r="B16" s="9"/>
      <c r="C16" s="9"/>
      <c r="D16" s="9"/>
      <c r="E16" s="9"/>
      <c r="F16" s="28" t="s">
        <v>62</v>
      </c>
      <c r="G16" s="43" t="s">
        <v>66</v>
      </c>
      <c r="H16" s="9"/>
      <c r="I16" s="14"/>
      <c r="J16" s="14"/>
      <c r="K16" s="9"/>
      <c r="L16" s="14"/>
      <c r="M16" s="14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ht="23.25" customHeight="1">
      <c r="A17" s="9"/>
      <c r="B17" s="9"/>
      <c r="C17" s="9"/>
      <c r="D17" s="9"/>
      <c r="E17" s="9"/>
      <c r="F17" s="28" t="s">
        <v>33</v>
      </c>
      <c r="G17" s="43">
        <v>2.0</v>
      </c>
      <c r="H17" s="9"/>
      <c r="I17" s="1"/>
      <c r="J17" s="1"/>
      <c r="K17" s="9"/>
      <c r="L17" s="14"/>
      <c r="M17" s="14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ht="23.25" customHeight="1">
      <c r="A18" s="9"/>
      <c r="B18" s="9"/>
      <c r="C18" s="9"/>
      <c r="D18" s="9"/>
      <c r="E18" s="9"/>
      <c r="F18" s="28" t="s">
        <v>63</v>
      </c>
      <c r="G18" s="43" t="s">
        <v>66</v>
      </c>
      <c r="H18" s="9"/>
      <c r="I18" s="1"/>
      <c r="J18" s="1"/>
      <c r="K18" s="9"/>
      <c r="L18" s="14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ht="23.25" customHeight="1">
      <c r="A19" s="9"/>
      <c r="B19" s="9"/>
      <c r="C19" s="9"/>
      <c r="D19" s="9"/>
      <c r="E19" s="9"/>
      <c r="F19" s="44" t="s">
        <v>64</v>
      </c>
      <c r="G19" s="45" t="s">
        <v>69</v>
      </c>
      <c r="H19" s="9"/>
      <c r="I19" s="14"/>
      <c r="J19" s="14"/>
      <c r="K19" s="9"/>
      <c r="L19" s="1"/>
      <c r="M19" s="1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ht="23.25" customHeight="1">
      <c r="A20" s="9"/>
      <c r="B20" s="9"/>
      <c r="C20" s="9"/>
      <c r="D20" s="9"/>
      <c r="E20" s="9"/>
      <c r="F20" s="1"/>
      <c r="G20" s="1"/>
      <c r="H20" s="9"/>
      <c r="I20" s="14"/>
      <c r="J20" s="9"/>
      <c r="K20" s="9"/>
      <c r="L20" s="1"/>
      <c r="M20" s="1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ht="23.25" customHeight="1">
      <c r="A21" s="9"/>
      <c r="B21" s="9"/>
      <c r="C21" s="9"/>
      <c r="D21" s="9"/>
      <c r="E21" s="9"/>
      <c r="F21" s="1"/>
      <c r="G21" s="1"/>
      <c r="H21" s="9"/>
      <c r="I21" s="9"/>
      <c r="J21" s="9"/>
      <c r="K21" s="9"/>
      <c r="L21" s="1"/>
      <c r="M21" s="1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ht="23.25" customHeight="1">
      <c r="A22" s="9"/>
      <c r="B22" s="9"/>
      <c r="C22" s="9"/>
      <c r="D22" s="9"/>
      <c r="E22" s="9"/>
      <c r="F22" s="14"/>
      <c r="G22" s="9"/>
      <c r="H22" s="9"/>
      <c r="I22" s="9"/>
      <c r="J22" s="9"/>
      <c r="K22" s="9"/>
      <c r="L22" s="1"/>
      <c r="M22" s="1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ht="23.25" customHeight="1">
      <c r="A23" s="9"/>
      <c r="B23" s="9"/>
      <c r="C23" s="9"/>
      <c r="D23" s="9"/>
      <c r="E23" s="9"/>
      <c r="F23" s="14"/>
      <c r="G23" s="9"/>
      <c r="H23" s="9"/>
      <c r="I23" s="9"/>
      <c r="J23" s="9"/>
      <c r="K23" s="9"/>
      <c r="L23" s="1"/>
      <c r="M23" s="1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ht="23.2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1"/>
      <c r="M24" s="1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ht="23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1"/>
      <c r="M25" s="1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ht="23.2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ht="23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ht="23.2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ht="23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ht="23.2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ht="23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ht="23.2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ht="23.2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ht="23.2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ht="23.2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ht="23.2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ht="23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ht="23.2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ht="23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ht="23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ht="23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ht="23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ht="23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ht="23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ht="23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ht="23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ht="23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ht="23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ht="23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ht="23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ht="23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ht="23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ht="23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ht="23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ht="23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ht="23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ht="23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ht="23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ht="23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ht="23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ht="23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ht="23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ht="23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ht="23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ht="23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ht="23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ht="23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ht="23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ht="23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ht="23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ht="23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ht="23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ht="23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ht="23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ht="23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ht="23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ht="23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ht="23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ht="23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ht="23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ht="23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ht="23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ht="23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ht="23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ht="23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ht="23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ht="23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ht="23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ht="23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ht="23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ht="23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ht="23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ht="23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ht="23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ht="23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ht="23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ht="23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ht="23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ht="23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ht="23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ht="23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ht="23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ht="23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ht="23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ht="23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ht="23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ht="23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ht="23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ht="23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ht="23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ht="23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ht="23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ht="23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ht="23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ht="23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ht="23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ht="23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ht="23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ht="23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ht="23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ht="23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ht="23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ht="23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ht="23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ht="23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ht="23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ht="23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ht="23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ht="23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ht="23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ht="23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ht="23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ht="23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ht="23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ht="23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ht="23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ht="23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ht="23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ht="23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ht="23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ht="23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ht="23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ht="23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ht="23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ht="23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ht="23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ht="23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ht="23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ht="23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ht="23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ht="23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ht="23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ht="23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ht="23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ht="23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ht="23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ht="23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ht="23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ht="23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ht="23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ht="23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ht="23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ht="23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ht="23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ht="23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ht="23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ht="23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ht="23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ht="23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ht="23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ht="23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ht="23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ht="23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ht="23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ht="23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ht="23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ht="23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ht="23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ht="23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ht="23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ht="23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ht="23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ht="23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ht="23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ht="23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ht="23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ht="23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ht="23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ht="23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ht="23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ht="23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ht="23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ht="23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ht="23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ht="23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ht="23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ht="23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ht="23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ht="23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ht="23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ht="23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ht="23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ht="23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ht="23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ht="23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ht="23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ht="23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ht="23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ht="23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ht="23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ht="23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ht="23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ht="23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ht="23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ht="23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ht="23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ht="23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ht="23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ht="23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ht="23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ht="23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ht="23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ht="23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ht="23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ht="23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ht="23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ht="23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ht="23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ht="23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ht="23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ht="23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ht="23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ht="23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ht="23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ht="23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ht="23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ht="23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ht="23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ht="23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ht="23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ht="23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ht="23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ht="23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ht="23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ht="23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ht="23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ht="23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ht="23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ht="23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ht="23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ht="23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ht="23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ht="23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ht="23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ht="23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ht="23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ht="23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ht="23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ht="23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ht="23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ht="23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ht="23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ht="23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ht="23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ht="23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ht="23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ht="23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ht="23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ht="23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ht="23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ht="23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ht="23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ht="23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ht="23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ht="23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ht="23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ht="23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ht="23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ht="23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ht="23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ht="23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ht="23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ht="23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ht="23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ht="23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ht="23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ht="23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ht="23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ht="23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ht="23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ht="23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ht="23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ht="23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ht="23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ht="23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ht="23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ht="23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ht="23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ht="23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ht="23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ht="23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ht="23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ht="23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ht="23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ht="23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ht="23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ht="23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ht="23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ht="23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ht="23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ht="23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ht="23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ht="23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ht="23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ht="23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ht="23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ht="23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ht="23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ht="23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ht="23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ht="23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ht="23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ht="23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ht="23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ht="23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ht="23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ht="23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ht="23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ht="23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ht="23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ht="23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ht="23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ht="23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ht="23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ht="23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ht="23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ht="23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ht="23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ht="23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ht="23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ht="23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ht="23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ht="23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ht="23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ht="23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ht="23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ht="23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ht="23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ht="23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ht="23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ht="23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ht="23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ht="23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ht="23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ht="23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ht="23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ht="23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ht="23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ht="23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ht="23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ht="23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ht="23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ht="23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ht="23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ht="23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ht="23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ht="23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ht="23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ht="23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ht="23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ht="23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ht="23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ht="23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ht="23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ht="23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ht="23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ht="23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ht="23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ht="23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ht="23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ht="23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ht="23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ht="23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ht="23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ht="23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ht="23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ht="23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ht="23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ht="23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ht="23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ht="23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ht="23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ht="23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 ht="23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 ht="23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 ht="23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 ht="23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 ht="23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ht="23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 ht="23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 ht="23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 ht="23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 ht="23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 ht="23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 ht="23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ht="23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ht="23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 ht="23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 ht="23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 ht="23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 ht="23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 ht="23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 ht="23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 ht="23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 ht="23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 ht="23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 ht="23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 ht="23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 ht="23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 ht="23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 ht="23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 ht="23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 ht="23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 ht="23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 ht="23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 ht="23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 ht="23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 ht="23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 ht="23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 ht="23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 ht="23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 ht="23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 ht="23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 ht="23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 ht="23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 ht="23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 ht="23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 ht="23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ht="23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 ht="23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 ht="23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 ht="23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 ht="23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 ht="23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 ht="23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 ht="23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 ht="23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 ht="23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 ht="23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 ht="23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 ht="23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 ht="23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 ht="23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 ht="23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 ht="23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 ht="23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 ht="23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 ht="23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 ht="23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 ht="23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 ht="23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 ht="23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 ht="23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 ht="23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 ht="23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 ht="23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 ht="23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 ht="23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 ht="23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 ht="23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 ht="23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 ht="23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 ht="23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</sheetData>
  <mergeCells count="6">
    <mergeCell ref="F2:G2"/>
    <mergeCell ref="F4:G4"/>
    <mergeCell ref="L4:M4"/>
    <mergeCell ref="F7:G7"/>
    <mergeCell ref="F10:G10"/>
    <mergeCell ref="F13:G13"/>
  </mergeCells>
  <dataValidations>
    <dataValidation type="list" allowBlank="1" showErrorMessage="1" sqref="G11">
      <formula1>"FRAME,TURRET,NONE"</formula1>
    </dataValidation>
    <dataValidation type="list" allowBlank="1" showErrorMessage="1" sqref="G17">
      <formula1>"3,2.5,2,1.5,1,.5,0"</formula1>
    </dataValidation>
    <dataValidation type="list" allowBlank="1" showErrorMessage="1" sqref="G5">
      <formula1>"SWERVE,MECANUM ,TANK"</formula1>
    </dataValidation>
    <dataValidation type="list" allowBlank="1" showErrorMessage="1" sqref="G6 G9 G14:G16 G18:G19">
      <formula1>"YES,NO"</formula1>
    </dataValidation>
    <dataValidation type="list" allowBlank="1" showErrorMessage="1" sqref="G12">
      <formula1>"DRUM,4 LANES,3 LANES,2 LANES,1 LANE,NONE"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8.0"/>
    <col customWidth="1" min="3" max="3" width="3.0"/>
    <col customWidth="1" min="4" max="4" width="16.13"/>
    <col customWidth="1" min="5" max="5" width="3.0"/>
    <col customWidth="1" min="6" max="6" width="16.13"/>
    <col customWidth="1" min="7" max="7" width="3.0"/>
    <col customWidth="1" min="8" max="8" width="16.13"/>
    <col customWidth="1" min="9" max="9" width="3.0"/>
    <col customWidth="1" min="10" max="10" width="16.13"/>
    <col customWidth="1" min="11" max="11" width="3.0"/>
    <col customWidth="1" min="12" max="12" width="16.13"/>
    <col customWidth="1" min="13" max="13" width="3.0"/>
    <col customWidth="1" min="14" max="14" width="16.13"/>
    <col customWidth="1" min="15" max="15" width="3.0"/>
    <col customWidth="1" min="16" max="16" width="20.0"/>
    <col customWidth="1" min="17" max="30" width="16.13"/>
  </cols>
  <sheetData>
    <row r="1" ht="10.5" customHeigh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</row>
    <row r="2" ht="23.25" customHeight="1">
      <c r="A2" s="46"/>
      <c r="B2" s="46"/>
      <c r="C2" s="47"/>
      <c r="D2" s="48" t="s">
        <v>70</v>
      </c>
      <c r="E2" s="49"/>
      <c r="F2" s="49"/>
      <c r="G2" s="49"/>
      <c r="H2" s="50"/>
      <c r="I2" s="51"/>
      <c r="J2" s="48"/>
      <c r="K2" s="49"/>
      <c r="L2" s="49"/>
      <c r="M2" s="49"/>
      <c r="N2" s="50"/>
      <c r="O2" s="47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</row>
    <row r="3" ht="10.5" customHeight="1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</row>
    <row r="4" ht="23.25" customHeight="1">
      <c r="A4" s="46"/>
      <c r="B4" s="46"/>
      <c r="C4" s="47"/>
      <c r="D4" s="52" t="s">
        <v>17</v>
      </c>
      <c r="E4" s="47"/>
      <c r="F4" s="52" t="s">
        <v>18</v>
      </c>
      <c r="G4" s="47"/>
      <c r="H4" s="52" t="s">
        <v>19</v>
      </c>
      <c r="I4" s="47"/>
      <c r="J4" s="53" t="s">
        <v>20</v>
      </c>
      <c r="K4" s="47"/>
      <c r="L4" s="53" t="s">
        <v>21</v>
      </c>
      <c r="M4" s="47"/>
      <c r="N4" s="53" t="s">
        <v>22</v>
      </c>
      <c r="O4" s="47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</row>
    <row r="5" ht="10.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</row>
    <row r="6" ht="23.25" customHeight="1">
      <c r="A6" s="46"/>
      <c r="B6" s="51" t="s">
        <v>23</v>
      </c>
      <c r="C6" s="46"/>
      <c r="D6" s="54" t="str">
        <f t="array" ref="D6">IFERROR(INDEX(qual_matches!B:B, MATCH($J$2, qual_matches!A:A, 0)), "")</f>
        <v/>
      </c>
      <c r="E6" s="46"/>
      <c r="F6" s="52" t="str">
        <f t="array" ref="F6">IFERROR(INDEX(qual_matches!C:C, MATCH($J$2, qual_matches!A:A, 0)), "")</f>
        <v/>
      </c>
      <c r="G6" s="46"/>
      <c r="H6" s="55" t="str">
        <f t="array" ref="H6">IFERROR(INDEX(qual_matches!D:D, MATCH($J$2, qual_matches!A:A, 0)), "")</f>
        <v/>
      </c>
      <c r="I6" s="46"/>
      <c r="J6" s="53" t="str">
        <f t="array" ref="J6">IFERROR(INDEX(qual_matches!E:E, MATCH($J$2, qual_matches!A:A, 0)), "")</f>
        <v/>
      </c>
      <c r="K6" s="46"/>
      <c r="L6" s="53" t="str">
        <f t="array" ref="L6">IFERROR(INDEX(qual_matches!F:F, MATCH($J$2, qual_matches!A:A, 0)), "")</f>
        <v/>
      </c>
      <c r="M6" s="46"/>
      <c r="N6" s="56" t="str">
        <f t="array" ref="N6">IFERROR(INDEX(qual_matches!G:G, MATCH($J$2, qual_matches!A:A, 0)), "")</f>
        <v/>
      </c>
      <c r="O6" s="46"/>
      <c r="P6" s="51" t="s">
        <v>23</v>
      </c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</row>
    <row r="7" ht="10.5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</row>
    <row r="8" ht="23.25" customHeight="1">
      <c r="A8" s="46"/>
      <c r="B8" s="14" t="s">
        <v>57</v>
      </c>
      <c r="C8" s="9"/>
      <c r="D8" s="18" t="str">
        <f t="array" ref="D8">INDIRECT("'" &amp; D6 &amp; "'!C12")</f>
        <v/>
      </c>
      <c r="E8" s="9" t="str">
        <f t="array" ref="E8">INDIRECT("'" &amp; E4 &amp; "'!C4")</f>
        <v/>
      </c>
      <c r="F8" s="18" t="str">
        <f t="array" ref="F8">INDIRECT("'" &amp; F6 &amp; "'!C12")</f>
        <v/>
      </c>
      <c r="G8" s="9" t="str">
        <f t="array" ref="G8">INDIRECT("'" &amp; G4 &amp; "'!C4")</f>
        <v/>
      </c>
      <c r="H8" s="18" t="str">
        <f t="array" ref="H8">INDIRECT("'" &amp; H6 &amp; "'!C12")</f>
        <v/>
      </c>
      <c r="I8" s="9" t="str">
        <f t="array" ref="I8">INDIRECT("'" &amp; I4 &amp; "'!C4")</f>
        <v/>
      </c>
      <c r="J8" s="19" t="str">
        <f t="array" ref="J8">INDIRECT("'" &amp; J6 &amp; "'!C12")</f>
        <v/>
      </c>
      <c r="K8" s="9" t="str">
        <f t="array" ref="K8">INDIRECT("'" &amp; K4 &amp; "'!C4")</f>
        <v/>
      </c>
      <c r="L8" s="19" t="str">
        <f t="array" ref="L8">INDIRECT("'" &amp; L6 &amp; "'!C12")</f>
        <v/>
      </c>
      <c r="M8" s="9" t="str">
        <f t="array" ref="M8">INDIRECT("'" &amp; M4 &amp; "'!C4")</f>
        <v/>
      </c>
      <c r="N8" s="19" t="str">
        <f t="array" ref="N8">INDIRECT("'" &amp; N6 &amp; "'!C12")</f>
        <v/>
      </c>
      <c r="O8" s="9" t="str">
        <f t="array" ref="O8">INDIRECT("'" &amp; O4 &amp; "'!C4")</f>
        <v/>
      </c>
      <c r="P8" s="17" t="str">
        <f>B8</f>
        <v>RANK</v>
      </c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</row>
    <row r="9" ht="10.5" customHeight="1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</row>
    <row r="10" ht="23.25" customHeight="1">
      <c r="A10" s="46"/>
      <c r="B10" s="17" t="s">
        <v>10</v>
      </c>
      <c r="C10" s="9"/>
      <c r="D10" s="18" t="str">
        <f t="shared" ref="D10:O10" si="1">INDIRECT("'" &amp; D6 &amp; "'!C4")</f>
        <v/>
      </c>
      <c r="E10" s="9" t="str">
        <f t="shared" si="1"/>
        <v/>
      </c>
      <c r="F10" s="18" t="str">
        <f t="shared" si="1"/>
        <v/>
      </c>
      <c r="G10" s="9" t="str">
        <f t="shared" si="1"/>
        <v/>
      </c>
      <c r="H10" s="18" t="str">
        <f t="shared" si="1"/>
        <v/>
      </c>
      <c r="I10" s="9" t="str">
        <f t="shared" si="1"/>
        <v/>
      </c>
      <c r="J10" s="19" t="str">
        <f t="shared" si="1"/>
        <v/>
      </c>
      <c r="K10" s="9" t="str">
        <f t="shared" si="1"/>
        <v/>
      </c>
      <c r="L10" s="19" t="str">
        <f t="shared" si="1"/>
        <v/>
      </c>
      <c r="M10" s="9" t="str">
        <f t="shared" si="1"/>
        <v/>
      </c>
      <c r="N10" s="19" t="str">
        <f t="shared" si="1"/>
        <v/>
      </c>
      <c r="O10" s="9" t="str">
        <f t="shared" si="1"/>
        <v/>
      </c>
      <c r="P10" s="17" t="str">
        <f t="shared" ref="P10:P42" si="2">B10</f>
        <v>TOTAL EPA</v>
      </c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</row>
    <row r="11" ht="10.5" customHeight="1">
      <c r="A11" s="46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7" t="str">
        <f t="shared" si="2"/>
        <v/>
      </c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</row>
    <row r="12" ht="23.25" customHeight="1">
      <c r="A12" s="46"/>
      <c r="B12" s="17" t="s">
        <v>11</v>
      </c>
      <c r="C12" s="17"/>
      <c r="D12" s="20" t="str">
        <f t="shared" ref="D12:O12" si="3">INDIRECT("'" &amp; D6 &amp; "'!C6")</f>
        <v/>
      </c>
      <c r="E12" s="17" t="str">
        <f t="shared" si="3"/>
        <v/>
      </c>
      <c r="F12" s="20" t="str">
        <f t="shared" si="3"/>
        <v/>
      </c>
      <c r="G12" s="17" t="str">
        <f t="shared" si="3"/>
        <v/>
      </c>
      <c r="H12" s="20" t="str">
        <f t="shared" si="3"/>
        <v/>
      </c>
      <c r="I12" s="17" t="str">
        <f t="shared" si="3"/>
        <v/>
      </c>
      <c r="J12" s="21" t="str">
        <f t="shared" si="3"/>
        <v/>
      </c>
      <c r="K12" s="17" t="str">
        <f t="shared" si="3"/>
        <v/>
      </c>
      <c r="L12" s="21" t="str">
        <f t="shared" si="3"/>
        <v/>
      </c>
      <c r="M12" s="17" t="str">
        <f t="shared" si="3"/>
        <v/>
      </c>
      <c r="N12" s="21" t="str">
        <f t="shared" si="3"/>
        <v/>
      </c>
      <c r="O12" s="17" t="str">
        <f t="shared" si="3"/>
        <v/>
      </c>
      <c r="P12" s="17" t="str">
        <f t="shared" si="2"/>
        <v>AUTO EPA</v>
      </c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</row>
    <row r="13" ht="10.5" customHeight="1">
      <c r="A13" s="46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7" t="str">
        <f t="shared" si="2"/>
        <v/>
      </c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</row>
    <row r="14" ht="23.25" customHeight="1">
      <c r="A14" s="46"/>
      <c r="B14" s="17" t="s">
        <v>24</v>
      </c>
      <c r="C14" s="9"/>
      <c r="D14" s="20" t="str">
        <f t="shared" ref="D14:O14" si="4">INDIRECT("'" &amp; D6 &amp; "'!C8")</f>
        <v/>
      </c>
      <c r="E14" s="17" t="str">
        <f t="shared" si="4"/>
        <v/>
      </c>
      <c r="F14" s="20" t="str">
        <f t="shared" si="4"/>
        <v/>
      </c>
      <c r="G14" s="17" t="str">
        <f t="shared" si="4"/>
        <v/>
      </c>
      <c r="H14" s="20" t="str">
        <f t="shared" si="4"/>
        <v/>
      </c>
      <c r="I14" s="17" t="str">
        <f t="shared" si="4"/>
        <v/>
      </c>
      <c r="J14" s="21" t="str">
        <f t="shared" si="4"/>
        <v/>
      </c>
      <c r="K14" s="17" t="str">
        <f t="shared" si="4"/>
        <v/>
      </c>
      <c r="L14" s="21" t="str">
        <f t="shared" si="4"/>
        <v/>
      </c>
      <c r="M14" s="17" t="str">
        <f t="shared" si="4"/>
        <v/>
      </c>
      <c r="N14" s="21" t="str">
        <f t="shared" si="4"/>
        <v/>
      </c>
      <c r="O14" s="17" t="str">
        <f t="shared" si="4"/>
        <v/>
      </c>
      <c r="P14" s="17" t="str">
        <f t="shared" si="2"/>
        <v>TELE-OP EPA</v>
      </c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</row>
    <row r="15" ht="10.5" customHeight="1">
      <c r="A15" s="46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7" t="str">
        <f t="shared" si="2"/>
        <v/>
      </c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</row>
    <row r="16" ht="23.25" customHeight="1">
      <c r="A16" s="46"/>
      <c r="B16" s="17" t="s">
        <v>25</v>
      </c>
      <c r="C16" s="17"/>
      <c r="D16" s="20" t="str">
        <f t="shared" ref="D16:O16" si="5">INDIRECT("'" &amp; D6 &amp; "'!C10")</f>
        <v/>
      </c>
      <c r="E16" s="17" t="str">
        <f t="shared" si="5"/>
        <v/>
      </c>
      <c r="F16" s="20" t="str">
        <f t="shared" si="5"/>
        <v/>
      </c>
      <c r="G16" s="17" t="str">
        <f t="shared" si="5"/>
        <v/>
      </c>
      <c r="H16" s="20" t="str">
        <f t="shared" si="5"/>
        <v/>
      </c>
      <c r="I16" s="17" t="str">
        <f t="shared" si="5"/>
        <v/>
      </c>
      <c r="J16" s="21" t="str">
        <f t="shared" si="5"/>
        <v/>
      </c>
      <c r="K16" s="17" t="str">
        <f t="shared" si="5"/>
        <v/>
      </c>
      <c r="L16" s="21" t="str">
        <f t="shared" si="5"/>
        <v/>
      </c>
      <c r="M16" s="17" t="str">
        <f t="shared" si="5"/>
        <v/>
      </c>
      <c r="N16" s="21" t="str">
        <f t="shared" si="5"/>
        <v/>
      </c>
      <c r="O16" s="17" t="str">
        <f t="shared" si="5"/>
        <v/>
      </c>
      <c r="P16" s="17" t="str">
        <f t="shared" si="2"/>
        <v>ENDGAME EPA</v>
      </c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</row>
    <row r="17" ht="10.5" customHeight="1">
      <c r="A17" s="46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7" t="str">
        <f t="shared" si="2"/>
        <v/>
      </c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</row>
    <row r="18" ht="23.25" customHeight="1">
      <c r="A18" s="46"/>
      <c r="B18" s="17" t="s">
        <v>26</v>
      </c>
      <c r="C18" s="9"/>
      <c r="D18" s="18" t="str">
        <f t="array" ref="D18">INDIRECT("'" &amp; D6 &amp; "'!G6")</f>
        <v/>
      </c>
      <c r="E18" s="9"/>
      <c r="F18" s="18" t="str">
        <f t="array" ref="F18">INDIRECT("'" &amp; F6 &amp; "'!G6")</f>
        <v/>
      </c>
      <c r="G18" s="9"/>
      <c r="H18" s="18" t="str">
        <f t="array" ref="H18">INDIRECT("'" &amp; H6 &amp; "'!G6")</f>
        <v/>
      </c>
      <c r="I18" s="9"/>
      <c r="J18" s="19" t="str">
        <f t="array" ref="J18">INDIRECT("'" &amp; J6 &amp; "'!G6")</f>
        <v/>
      </c>
      <c r="K18" s="9"/>
      <c r="L18" s="19" t="str">
        <f t="array" ref="L18">INDIRECT("'" &amp; L6 &amp; "'!G6")</f>
        <v/>
      </c>
      <c r="M18" s="9"/>
      <c r="N18" s="19" t="str">
        <f t="array" ref="N18">INDIRECT("'" &amp; N6 &amp; "'!G6")</f>
        <v/>
      </c>
      <c r="O18" s="9"/>
      <c r="P18" s="17" t="str">
        <f t="shared" si="2"/>
        <v>TRENCH?</v>
      </c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</row>
    <row r="19" ht="10.5" customHeight="1">
      <c r="A19" s="46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7" t="str">
        <f t="shared" si="2"/>
        <v/>
      </c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</row>
    <row r="20" ht="23.25" customHeight="1">
      <c r="A20" s="46"/>
      <c r="B20" s="17" t="s">
        <v>27</v>
      </c>
      <c r="C20" s="17"/>
      <c r="D20" s="20" t="str">
        <f t="array" ref="D20">INDIRECT("'" &amp; D6 &amp; "'!G5")</f>
        <v/>
      </c>
      <c r="E20" s="17" t="str">
        <f t="array" ref="E20">INDIRECT("'" &amp; E6 &amp; "'!J5")</f>
        <v/>
      </c>
      <c r="F20" s="20" t="str">
        <f t="array" ref="F20">INDIRECT("'" &amp; F6 &amp; "'!G5")</f>
        <v/>
      </c>
      <c r="G20" s="17" t="str">
        <f t="array" ref="G20">INDIRECT("'" &amp; G6 &amp; "'!J5")</f>
        <v/>
      </c>
      <c r="H20" s="20" t="str">
        <f t="array" ref="H20">INDIRECT("'" &amp; H6 &amp; "'!G5")</f>
        <v/>
      </c>
      <c r="I20" s="17" t="str">
        <f t="array" ref="I20">INDIRECT("'" &amp; I6 &amp; "'!J5")</f>
        <v/>
      </c>
      <c r="J20" s="21" t="str">
        <f t="array" ref="J20">INDIRECT("'" &amp; J6 &amp; "'!G5")</f>
        <v/>
      </c>
      <c r="K20" s="17" t="str">
        <f t="array" ref="K20">INDIRECT("'" &amp; K6 &amp; "'!J5")</f>
        <v/>
      </c>
      <c r="L20" s="21" t="str">
        <f t="array" ref="L20">INDIRECT("'" &amp; L6 &amp; "'!G5")</f>
        <v/>
      </c>
      <c r="M20" s="17" t="str">
        <f t="array" ref="M20">INDIRECT("'" &amp; M6 &amp; "'!J5")</f>
        <v/>
      </c>
      <c r="N20" s="21" t="str">
        <f t="array" ref="N20">INDIRECT("'" &amp; N6 &amp; "'!G5")</f>
        <v/>
      </c>
      <c r="O20" s="17" t="str">
        <f t="array" ref="O20">INDIRECT("'" &amp; O6 &amp; "'!J5")</f>
        <v/>
      </c>
      <c r="P20" s="17" t="str">
        <f t="shared" si="2"/>
        <v>DRIVE BASE</v>
      </c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</row>
    <row r="21" ht="10.5" customHeight="1">
      <c r="A21" s="46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7" t="str">
        <f t="shared" si="2"/>
        <v/>
      </c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</row>
    <row r="22" ht="23.25" customHeight="1">
      <c r="A22" s="46"/>
      <c r="B22" s="17" t="s">
        <v>28</v>
      </c>
      <c r="C22" s="9"/>
      <c r="D22" s="20" t="str">
        <f t="array" ref="D22">INDIRECT("'" &amp; D6 &amp; "'!G11")</f>
        <v/>
      </c>
      <c r="E22" s="17" t="str">
        <f t="array" ref="E22">INDIRECT("'" &amp; E6 &amp; "'!M12")</f>
        <v/>
      </c>
      <c r="F22" s="20" t="str">
        <f t="array" ref="F22">INDIRECT("'" &amp; F6 &amp; "'!G11")</f>
        <v/>
      </c>
      <c r="G22" s="17" t="str">
        <f t="array" ref="G22">INDIRECT("'" &amp; G6 &amp; "'!M12")</f>
        <v/>
      </c>
      <c r="H22" s="20" t="str">
        <f t="array" ref="H22">INDIRECT("'" &amp; H6 &amp; "'!G11")</f>
        <v/>
      </c>
      <c r="I22" s="17" t="str">
        <f t="array" ref="I22">INDIRECT("'" &amp; I6 &amp; "'!M12")</f>
        <v/>
      </c>
      <c r="J22" s="21" t="str">
        <f t="array" ref="J22">INDIRECT("'" &amp; J6 &amp; "'!G11")</f>
        <v/>
      </c>
      <c r="K22" s="17" t="str">
        <f t="array" ref="K22">INDIRECT("'" &amp; K6 &amp; "'!M12")</f>
        <v/>
      </c>
      <c r="L22" s="21" t="str">
        <f t="array" ref="L22">INDIRECT("'" &amp; L6 &amp; "'!G11")</f>
        <v/>
      </c>
      <c r="M22" s="17" t="str">
        <f t="array" ref="M22">INDIRECT("'" &amp; M6 &amp; "'!M12")</f>
        <v/>
      </c>
      <c r="N22" s="21" t="str">
        <f t="array" ref="N22">INDIRECT("'" &amp; N6 &amp; "'!G11")</f>
        <v/>
      </c>
      <c r="O22" s="17" t="str">
        <f t="array" ref="O22">INDIRECT("'" &amp; O6 &amp; "'!M12")</f>
        <v/>
      </c>
      <c r="P22" s="17" t="str">
        <f t="shared" si="2"/>
        <v>SHOOTER STYLE</v>
      </c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</row>
    <row r="23" ht="10.5" customHeight="1">
      <c r="A23" s="46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7" t="str">
        <f t="shared" si="2"/>
        <v/>
      </c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</row>
    <row r="24" ht="23.25" customHeight="1">
      <c r="A24" s="46"/>
      <c r="B24" s="17" t="s">
        <v>29</v>
      </c>
      <c r="C24" s="9"/>
      <c r="D24" s="18" t="str">
        <f t="array" ref="D24">INDIRECT("'" &amp; D6 &amp; "'!G12")</f>
        <v/>
      </c>
      <c r="E24" s="9" t="str">
        <f t="array" ref="E24">INDIRECT("'" &amp; E6 &amp; "'!M13")</f>
        <v/>
      </c>
      <c r="F24" s="18" t="str">
        <f t="array" ref="F24">INDIRECT("'" &amp; F6 &amp; "'!G12")</f>
        <v/>
      </c>
      <c r="G24" s="9" t="str">
        <f t="array" ref="G24">INDIRECT("'" &amp; G6 &amp; "'!M13")</f>
        <v/>
      </c>
      <c r="H24" s="18" t="str">
        <f t="array" ref="H24">INDIRECT("'" &amp; H6 &amp; "'!G12")</f>
        <v/>
      </c>
      <c r="I24" s="9" t="str">
        <f t="array" ref="I24">INDIRECT("'" &amp; I6 &amp; "'!M13")</f>
        <v/>
      </c>
      <c r="J24" s="19" t="str">
        <f t="array" ref="J24">INDIRECT("'" &amp; J6 &amp; "'!G12")</f>
        <v/>
      </c>
      <c r="K24" s="9" t="str">
        <f t="array" ref="K24">INDIRECT("'" &amp; K6 &amp; "'!M13")</f>
        <v/>
      </c>
      <c r="L24" s="19" t="str">
        <f t="array" ref="L24">INDIRECT("'" &amp; L6 &amp; "'!G12")</f>
        <v/>
      </c>
      <c r="M24" s="9" t="str">
        <f t="array" ref="M24">INDIRECT("'" &amp; M6 &amp; "'!M13")</f>
        <v/>
      </c>
      <c r="N24" s="19" t="str">
        <f t="array" ref="N24">INDIRECT("'" &amp; N6 &amp; "'!G12")</f>
        <v/>
      </c>
      <c r="O24" s="9" t="str">
        <f t="array" ref="O24">INDIRECT("'" &amp; O6 &amp; "'!M13")</f>
        <v/>
      </c>
      <c r="P24" s="17" t="str">
        <f t="shared" si="2"/>
        <v># OF LANES</v>
      </c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</row>
    <row r="25" ht="10.5" customHeight="1">
      <c r="A25" s="46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7" t="str">
        <f t="shared" si="2"/>
        <v/>
      </c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</row>
    <row r="26" ht="23.25" customHeight="1">
      <c r="A26" s="46"/>
      <c r="B26" s="14" t="s">
        <v>30</v>
      </c>
      <c r="C26" s="9"/>
      <c r="D26" s="18" t="str">
        <f t="array" ref="D26">INDIRECT("'" &amp; D6 &amp; "'!G8")</f>
        <v/>
      </c>
      <c r="E26" s="9" t="str">
        <f t="array" ref="E26">INDIRECT("'" &amp; E6 &amp; "'!J17")</f>
        <v/>
      </c>
      <c r="F26" s="18" t="str">
        <f t="array" ref="F26">INDIRECT("'" &amp; F6 &amp; "'!G8")</f>
        <v/>
      </c>
      <c r="G26" s="9" t="str">
        <f t="array" ref="G26">INDIRECT("'" &amp; G6 &amp; "'!J17")</f>
        <v/>
      </c>
      <c r="H26" s="18" t="str">
        <f t="array" ref="H26">INDIRECT("'" &amp; H6 &amp; "'!G8")</f>
        <v/>
      </c>
      <c r="I26" s="9"/>
      <c r="J26" s="19" t="str">
        <f t="array" ref="J26">INDIRECT("'" &amp; J6 &amp; "'!G8")</f>
        <v/>
      </c>
      <c r="K26" s="9" t="str">
        <f t="array" ref="K26">INDIRECT("'" &amp; K6 &amp; "'!J17")</f>
        <v/>
      </c>
      <c r="L26" s="19" t="str">
        <f t="array" ref="L26">INDIRECT("'" &amp; L6 &amp; "'!G8")</f>
        <v/>
      </c>
      <c r="M26" s="9" t="str">
        <f t="array" ref="M26">INDIRECT("'" &amp; M6 &amp; "'!J17")</f>
        <v/>
      </c>
      <c r="N26" s="19" t="str">
        <f t="array" ref="N26">INDIRECT("'" &amp; N6 &amp; "'!G8")</f>
        <v/>
      </c>
      <c r="O26" s="9"/>
      <c r="P26" s="17" t="str">
        <f t="shared" si="2"/>
        <v>HOPPER CAPACITY</v>
      </c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</row>
    <row r="27" ht="10.5" customHeight="1">
      <c r="A27" s="46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7" t="str">
        <f t="shared" si="2"/>
        <v/>
      </c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</row>
    <row r="28" ht="23.25" customHeight="1">
      <c r="A28" s="46"/>
      <c r="B28" s="14" t="s">
        <v>71</v>
      </c>
      <c r="C28" s="9"/>
      <c r="D28" s="18" t="str">
        <f t="array" ref="D28">INDIRECT("'" &amp; D6 &amp; "'!G9")</f>
        <v/>
      </c>
      <c r="E28" s="9" t="str">
        <f t="array" ref="E28">INDIRECT("'" &amp; E8 &amp; "'!J17")</f>
        <v/>
      </c>
      <c r="F28" s="18" t="str">
        <f t="array" ref="F28">INDIRECT("'" &amp; F6 &amp; "'!G9")</f>
        <v/>
      </c>
      <c r="G28" s="9" t="str">
        <f t="array" ref="G28">INDIRECT("'" &amp; G8 &amp; "'!J17")</f>
        <v/>
      </c>
      <c r="H28" s="18" t="str">
        <f t="array" ref="H28">INDIRECT("'" &amp; H6 &amp; "'!G9")</f>
        <v/>
      </c>
      <c r="I28" s="9"/>
      <c r="J28" s="19" t="str">
        <f t="array" ref="J28">INDIRECT("'" &amp; J6 &amp; "'!G9")</f>
        <v/>
      </c>
      <c r="K28" s="9" t="str">
        <f t="array" ref="K28">INDIRECT("'" &amp; K8 &amp; "'!J17")</f>
        <v/>
      </c>
      <c r="L28" s="19" t="str">
        <f t="array" ref="L28">INDIRECT("'" &amp; L6 &amp; "'!G9")</f>
        <v/>
      </c>
      <c r="M28" s="9" t="str">
        <f t="array" ref="M28">INDIRECT("'" &amp; M8 &amp; "'!J17")</f>
        <v/>
      </c>
      <c r="N28" s="19" t="str">
        <f t="array" ref="N28">INDIRECT("'" &amp; N6 &amp; "'!G9")</f>
        <v/>
      </c>
      <c r="O28" s="9"/>
      <c r="P28" s="17" t="str">
        <f t="shared" si="2"/>
        <v>HOPPER INCLOSED</v>
      </c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</row>
    <row r="29" ht="10.5" customHeight="1">
      <c r="A29" s="46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7" t="str">
        <f t="shared" si="2"/>
        <v/>
      </c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</row>
    <row r="30" ht="23.25" customHeight="1">
      <c r="A30" s="46"/>
      <c r="B30" s="17" t="s">
        <v>31</v>
      </c>
      <c r="C30" s="9"/>
      <c r="D30" s="18" t="str">
        <f t="array" ref="D30">INDIRECT("'" &amp; D6 &amp; "'!G15")</f>
        <v/>
      </c>
      <c r="E30" s="9" t="str">
        <f t="array" ref="E30">INDIRECT("'" &amp; E6 &amp; "'!M21")</f>
        <v/>
      </c>
      <c r="F30" s="18" t="str">
        <f t="array" ref="F30">INDIRECT("'" &amp; F6 &amp; "'!G15")</f>
        <v/>
      </c>
      <c r="G30" s="9" t="str">
        <f t="array" ref="G30">INDIRECT("'" &amp; G6 &amp; "'!M21")</f>
        <v/>
      </c>
      <c r="H30" s="18" t="str">
        <f t="array" ref="H30">INDIRECT("'" &amp; H6 &amp; "'!G15")</f>
        <v/>
      </c>
      <c r="I30" s="9" t="str">
        <f t="array" ref="I30">INDIRECT("'" &amp; I6 &amp; "'!M21")</f>
        <v/>
      </c>
      <c r="J30" s="19" t="str">
        <f t="array" ref="J30">INDIRECT("'" &amp; J6 &amp; "'!G15")</f>
        <v/>
      </c>
      <c r="K30" s="9" t="str">
        <f t="array" ref="K30">INDIRECT("'" &amp; K6 &amp; "'!M21")</f>
        <v/>
      </c>
      <c r="L30" s="19" t="str">
        <f t="array" ref="L30">INDIRECT("'" &amp; L6 &amp; "'!G15")</f>
        <v/>
      </c>
      <c r="M30" s="9" t="str">
        <f t="array" ref="M30">INDIRECT("'" &amp; M6 &amp; "'!M21")</f>
        <v/>
      </c>
      <c r="N30" s="19" t="str">
        <f t="array" ref="N30">INDIRECT("'" &amp; N6 &amp; "'!G15")</f>
        <v/>
      </c>
      <c r="O30" s="9" t="str">
        <f t="array" ref="O30">INDIRECT("'" &amp; O6 &amp; "'!M21")</f>
        <v/>
      </c>
      <c r="P30" s="17" t="str">
        <f t="shared" si="2"/>
        <v>SHOOT PRELOAD</v>
      </c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</row>
    <row r="31" ht="10.5" customHeight="1">
      <c r="A31" s="4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7" t="str">
        <f t="shared" si="2"/>
        <v/>
      </c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</row>
    <row r="32" ht="23.25" customHeight="1">
      <c r="A32" s="46"/>
      <c r="B32" s="17" t="s">
        <v>32</v>
      </c>
      <c r="C32" s="9"/>
      <c r="D32" s="18" t="str">
        <f t="array" ref="D32">INDIRECT("'" &amp; D6 &amp; "'!G16")</f>
        <v/>
      </c>
      <c r="E32" s="9" t="str">
        <f t="array" ref="E32">INDIRECT("'" &amp; E6 &amp; "'!M22")</f>
        <v/>
      </c>
      <c r="F32" s="18" t="str">
        <f t="array" ref="F32">INDIRECT("'" &amp; F6 &amp; "'!G16")</f>
        <v/>
      </c>
      <c r="G32" s="9" t="str">
        <f t="array" ref="G32">INDIRECT("'" &amp; G6 &amp; "'!M22")</f>
        <v/>
      </c>
      <c r="H32" s="18" t="str">
        <f t="array" ref="H32">INDIRECT("'" &amp; H6 &amp; "'!G16")</f>
        <v/>
      </c>
      <c r="I32" s="9" t="str">
        <f t="array" ref="I32">INDIRECT("'" &amp; I6 &amp; "'!M22")</f>
        <v/>
      </c>
      <c r="J32" s="19" t="str">
        <f t="array" ref="J32">INDIRECT("'" &amp; J6 &amp; "'!G16")</f>
        <v/>
      </c>
      <c r="K32" s="9" t="str">
        <f t="array" ref="K32">INDIRECT("'" &amp; K6 &amp; "'!M22")</f>
        <v/>
      </c>
      <c r="L32" s="19" t="str">
        <f t="array" ref="L32">INDIRECT("'" &amp; L6 &amp; "'!G16")</f>
        <v/>
      </c>
      <c r="M32" s="9" t="str">
        <f t="array" ref="M32">INDIRECT("'" &amp; M6 &amp; "'!M22")</f>
        <v/>
      </c>
      <c r="N32" s="19" t="str">
        <f t="array" ref="N32">INDIRECT("'" &amp; N6 &amp; "'!G16")</f>
        <v/>
      </c>
      <c r="O32" s="9" t="str">
        <f t="array" ref="O32">INDIRECT("'" &amp; O6 &amp; "'!M22")</f>
        <v/>
      </c>
      <c r="P32" s="17" t="str">
        <f t="shared" si="2"/>
        <v>CENTER AUTO</v>
      </c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</row>
    <row r="33" ht="10.5" customHeight="1">
      <c r="A33" s="46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7" t="str">
        <f t="shared" si="2"/>
        <v/>
      </c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</row>
    <row r="34" ht="23.25" customHeight="1">
      <c r="A34" s="46"/>
      <c r="B34" s="17" t="s">
        <v>33</v>
      </c>
      <c r="C34" s="9"/>
      <c r="D34" s="18" t="str">
        <f t="array" ref="D34">INDIRECT("'" &amp; D6 &amp; "'!G17")</f>
        <v/>
      </c>
      <c r="E34" s="9" t="str">
        <f t="array" ref="E34">INDIRECT("'" &amp; E6 &amp; "'!M23")</f>
        <v/>
      </c>
      <c r="F34" s="18" t="str">
        <f t="array" ref="F34">INDIRECT("'" &amp; F6 &amp; "'!G17")</f>
        <v/>
      </c>
      <c r="G34" s="9" t="str">
        <f t="array" ref="G34">INDIRECT("'" &amp; G6 &amp; "'!M23")</f>
        <v/>
      </c>
      <c r="H34" s="18" t="str">
        <f t="array" ref="H34">INDIRECT("'" &amp; H6 &amp; "'!G17")</f>
        <v/>
      </c>
      <c r="I34" s="9" t="str">
        <f t="array" ref="I34">INDIRECT("'" &amp; I6 &amp; "'!M23")</f>
        <v/>
      </c>
      <c r="J34" s="19" t="str">
        <f t="array" ref="J34">INDIRECT("'" &amp; J6 &amp; "'!G17")</f>
        <v/>
      </c>
      <c r="K34" s="9" t="str">
        <f t="array" ref="K34">INDIRECT("'" &amp; K6 &amp; "'!M23")</f>
        <v/>
      </c>
      <c r="L34" s="19" t="str">
        <f t="array" ref="L34">INDIRECT("'" &amp; L6 &amp; "'!G17")</f>
        <v/>
      </c>
      <c r="M34" s="9" t="str">
        <f t="array" ref="M34">INDIRECT("'" &amp; M6 &amp; "'!M23")</f>
        <v/>
      </c>
      <c r="N34" s="19" t="str">
        <f t="array" ref="N34">INDIRECT("'" &amp; N6 &amp; "'!G17")</f>
        <v/>
      </c>
      <c r="O34" s="9" t="str">
        <f t="array" ref="O34">INDIRECT("'" &amp; O6 &amp; "'!M23")</f>
        <v/>
      </c>
      <c r="P34" s="17" t="str">
        <f t="shared" si="2"/>
        <v># OF SWEEPS</v>
      </c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</row>
    <row r="35" ht="10.5" customHeight="1">
      <c r="A35" s="46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17" t="str">
        <f t="shared" si="2"/>
        <v/>
      </c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</row>
    <row r="36" ht="23.25" customHeight="1">
      <c r="A36" s="46"/>
      <c r="B36" s="17" t="s">
        <v>34</v>
      </c>
      <c r="C36" s="9"/>
      <c r="D36" s="18" t="str">
        <f t="array" ref="D36">INDIRECT("'" &amp; D6 &amp; "'!G18")</f>
        <v/>
      </c>
      <c r="E36" s="9" t="str">
        <f t="array" ref="E36">INDIRECT("'" &amp; E6 &amp; "'!M24")</f>
        <v/>
      </c>
      <c r="F36" s="18" t="str">
        <f t="array" ref="F36">INDIRECT("'" &amp; F6 &amp; "'!G18")</f>
        <v/>
      </c>
      <c r="G36" s="9" t="str">
        <f t="array" ref="G36">INDIRECT("'" &amp; G6 &amp; "'!M24")</f>
        <v/>
      </c>
      <c r="H36" s="18" t="str">
        <f t="array" ref="H36">INDIRECT("'" &amp; H6 &amp; "'!G18")</f>
        <v/>
      </c>
      <c r="I36" s="9" t="str">
        <f t="array" ref="I36">INDIRECT("'" &amp; I6 &amp; "'!M24")</f>
        <v/>
      </c>
      <c r="J36" s="19" t="str">
        <f t="array" ref="J36">INDIRECT("'" &amp; J6 &amp; "'!G18")</f>
        <v/>
      </c>
      <c r="K36" s="9" t="str">
        <f t="array" ref="K36">INDIRECT("'" &amp; K6 &amp; "'!M24")</f>
        <v/>
      </c>
      <c r="L36" s="19" t="str">
        <f t="array" ref="L36">INDIRECT("'" &amp; L6 &amp; "'!G18")</f>
        <v/>
      </c>
      <c r="M36" s="9" t="str">
        <f t="array" ref="M36">INDIRECT("'" &amp; M6 &amp; "'!M24")</f>
        <v/>
      </c>
      <c r="N36" s="19" t="str">
        <f t="array" ref="N36">INDIRECT("'" &amp; N6 &amp; "'!G18")</f>
        <v/>
      </c>
      <c r="O36" s="9" t="str">
        <f t="array" ref="O36">INDIRECT("'" &amp; O6 &amp; "'!M24")</f>
        <v/>
      </c>
      <c r="P36" s="17" t="str">
        <f t="shared" si="2"/>
        <v>DEPOT AUTO</v>
      </c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</row>
    <row r="37" ht="10.5" customHeight="1">
      <c r="A37" s="46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17" t="str">
        <f t="shared" si="2"/>
        <v/>
      </c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</row>
    <row r="38" ht="23.25" customHeight="1">
      <c r="A38" s="46"/>
      <c r="B38" s="17" t="s">
        <v>35</v>
      </c>
      <c r="C38" s="9"/>
      <c r="D38" s="18" t="str">
        <f t="array" ref="D38">INDIRECT("'" &amp; D6 &amp; "'!G19")</f>
        <v/>
      </c>
      <c r="E38" s="9" t="str">
        <f t="array" ref="E38">INDIRECT("'" &amp; E6 &amp; "'!M25")</f>
        <v/>
      </c>
      <c r="F38" s="18" t="str">
        <f t="array" ref="F38">INDIRECT("'" &amp; F6 &amp; "'!G19")</f>
        <v/>
      </c>
      <c r="G38" s="9" t="str">
        <f t="array" ref="G38">INDIRECT("'" &amp; G6 &amp; "'!M25")</f>
        <v/>
      </c>
      <c r="H38" s="18" t="str">
        <f t="array" ref="H38">INDIRECT("'" &amp; H6 &amp; "'!G19")</f>
        <v/>
      </c>
      <c r="I38" s="9" t="str">
        <f t="array" ref="I38">INDIRECT("'" &amp; I6 &amp; "'!M25")</f>
        <v/>
      </c>
      <c r="J38" s="19" t="str">
        <f t="array" ref="J38">INDIRECT("'" &amp; J6 &amp; "'!G19")</f>
        <v/>
      </c>
      <c r="K38" s="9" t="str">
        <f t="array" ref="K38">INDIRECT("'" &amp; K6 &amp; "'!M25")</f>
        <v/>
      </c>
      <c r="L38" s="19" t="str">
        <f t="array" ref="L38">INDIRECT("'" &amp; L6 &amp; "'!G19")</f>
        <v/>
      </c>
      <c r="M38" s="9" t="str">
        <f t="array" ref="M38">INDIRECT("'" &amp; M6 &amp; "'!M25")</f>
        <v/>
      </c>
      <c r="N38" s="19" t="str">
        <f t="array" ref="N38">INDIRECT("'" &amp; N6 &amp; "'!G19")</f>
        <v/>
      </c>
      <c r="O38" s="9" t="str">
        <f t="array" ref="O38">INDIRECT("'" &amp; O6 &amp; "'!M25")</f>
        <v/>
      </c>
      <c r="P38" s="17" t="str">
        <f t="shared" si="2"/>
        <v>OUTPOST AUTO</v>
      </c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</row>
    <row r="39" ht="10.5" customHeight="1">
      <c r="A39" s="46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17" t="str">
        <f t="shared" si="2"/>
        <v/>
      </c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</row>
    <row r="40" ht="23.25" customHeight="1">
      <c r="A40" s="46"/>
      <c r="B40" s="17" t="s">
        <v>36</v>
      </c>
      <c r="C40" s="9"/>
      <c r="D40" s="18" t="str">
        <f t="array" ref="D40">INDIRECT("'" &amp; D6 &amp; "'!G3")</f>
        <v/>
      </c>
      <c r="E40" s="9" t="str">
        <f t="array" ref="E40">INDIRECT("'" &amp; E6 &amp; "'!G5")</f>
        <v/>
      </c>
      <c r="F40" s="18" t="str">
        <f t="array" ref="F40">INDIRECT("'" &amp; F6 &amp; "'!G3")</f>
        <v/>
      </c>
      <c r="G40" s="9" t="str">
        <f t="array" ref="G40">INDIRECT("'" &amp; G6 &amp; "'!G5")</f>
        <v/>
      </c>
      <c r="H40" s="18" t="str">
        <f t="array" ref="H40">INDIRECT("'" &amp; H6 &amp; "'!G3")</f>
        <v/>
      </c>
      <c r="I40" s="9" t="str">
        <f t="array" ref="I40">INDIRECT("'" &amp; I6 &amp; "'!G5")</f>
        <v/>
      </c>
      <c r="J40" s="19" t="str">
        <f t="array" ref="J40">INDIRECT("'" &amp; J6 &amp; "'!G3")</f>
        <v/>
      </c>
      <c r="K40" s="9" t="str">
        <f t="array" ref="K40">INDIRECT("'" &amp; K6 &amp; "'!G5")</f>
        <v/>
      </c>
      <c r="L40" s="19" t="str">
        <f t="array" ref="L40">INDIRECT("'" &amp; L6 &amp; "'!G3")</f>
        <v/>
      </c>
      <c r="M40" s="9" t="str">
        <f t="array" ref="M40">INDIRECT("'" &amp; M6 &amp; "'!G5")</f>
        <v/>
      </c>
      <c r="N40" s="19" t="str">
        <f t="array" ref="N40">INDIRECT("'" &amp; N6 &amp; "'!G3")</f>
        <v/>
      </c>
      <c r="O40" s="9" t="str">
        <f t="array" ref="O40">INDIRECT("'" &amp; O6 &amp; "'!G5")</f>
        <v/>
      </c>
      <c r="P40" s="17" t="str">
        <f t="shared" si="2"/>
        <v>ROBOT WEIGHT</v>
      </c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</row>
    <row r="41" ht="10.5" customHeight="1">
      <c r="A41" s="46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 t="str">
        <f t="shared" si="2"/>
        <v/>
      </c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</row>
    <row r="42" ht="23.25" customHeight="1">
      <c r="A42" s="46"/>
      <c r="B42" s="9" t="s">
        <v>23</v>
      </c>
      <c r="C42" s="9"/>
      <c r="D42" s="18" t="str">
        <f t="shared" ref="D42:N42" si="6">D6</f>
        <v/>
      </c>
      <c r="E42" s="9" t="str">
        <f t="shared" si="6"/>
        <v/>
      </c>
      <c r="F42" s="18" t="str">
        <f t="shared" si="6"/>
        <v/>
      </c>
      <c r="G42" s="9" t="str">
        <f t="shared" si="6"/>
        <v/>
      </c>
      <c r="H42" s="18" t="str">
        <f t="shared" si="6"/>
        <v/>
      </c>
      <c r="I42" s="9" t="str">
        <f t="shared" si="6"/>
        <v/>
      </c>
      <c r="J42" s="19" t="str">
        <f t="shared" si="6"/>
        <v/>
      </c>
      <c r="K42" s="9" t="str">
        <f t="shared" si="6"/>
        <v/>
      </c>
      <c r="L42" s="19" t="str">
        <f t="shared" si="6"/>
        <v/>
      </c>
      <c r="M42" s="9" t="str">
        <f t="shared" si="6"/>
        <v/>
      </c>
      <c r="N42" s="19" t="str">
        <f t="shared" si="6"/>
        <v/>
      </c>
      <c r="O42" s="9"/>
      <c r="P42" s="9" t="str">
        <f t="shared" si="2"/>
        <v>TEAM NUMBER</v>
      </c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</row>
    <row r="43" ht="23.25" customHeight="1">
      <c r="A43" s="46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</row>
    <row r="44" ht="23.25" customHeight="1">
      <c r="A44" s="46"/>
      <c r="B44" s="9"/>
      <c r="C44" s="9"/>
      <c r="D44" s="9"/>
      <c r="E44" s="18" t="s">
        <v>37</v>
      </c>
      <c r="H44" s="22">
        <f>SUM(D10:H10)</f>
        <v>0</v>
      </c>
      <c r="I44" s="9"/>
      <c r="J44" s="19">
        <f>SUM(J10:N10)</f>
        <v>0</v>
      </c>
      <c r="K44" s="19" t="s">
        <v>37</v>
      </c>
      <c r="N44" s="9"/>
      <c r="O44" s="9"/>
      <c r="P44" s="9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</row>
    <row r="45" ht="23.25" customHeight="1">
      <c r="A45" s="46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</row>
    <row r="46" ht="23.2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</row>
    <row r="47" ht="23.2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</row>
    <row r="48" ht="23.2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</row>
    <row r="49" ht="23.2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</row>
    <row r="50" ht="23.2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</row>
    <row r="51" ht="23.2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</row>
    <row r="52" ht="23.2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</row>
    <row r="53" ht="23.2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</row>
    <row r="54" ht="23.2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</row>
    <row r="55" ht="23.2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</row>
    <row r="56" ht="23.2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</row>
    <row r="57" ht="23.2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</row>
    <row r="58" ht="23.2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</row>
    <row r="59" ht="23.2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</row>
    <row r="60" ht="23.2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</row>
    <row r="61" ht="23.2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</row>
    <row r="62" ht="23.2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</row>
    <row r="63" ht="23.2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</row>
    <row r="64" ht="23.2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</row>
    <row r="65" ht="23.2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</row>
    <row r="66" ht="23.2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</row>
    <row r="67" ht="23.2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</row>
    <row r="68" ht="23.2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</row>
    <row r="69" ht="23.2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</row>
    <row r="70" ht="23.2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</row>
    <row r="71" ht="23.2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</row>
    <row r="72" ht="23.2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</row>
    <row r="73" ht="23.2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</row>
    <row r="74" ht="23.2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</row>
    <row r="75" ht="23.2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</row>
    <row r="76" ht="23.2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</row>
    <row r="77" ht="23.2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</row>
    <row r="78" ht="23.2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</row>
    <row r="79" ht="23.2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</row>
    <row r="80" ht="23.2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</row>
    <row r="81" ht="23.2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</row>
    <row r="82" ht="23.2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</row>
    <row r="83" ht="23.2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</row>
    <row r="84" ht="23.2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</row>
    <row r="85" ht="23.2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</row>
    <row r="86" ht="23.2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</row>
    <row r="87" ht="23.2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</row>
    <row r="88" ht="23.2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</row>
    <row r="89" ht="23.2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</row>
    <row r="90" ht="23.2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</row>
    <row r="91" ht="23.2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</row>
    <row r="92" ht="23.2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</row>
    <row r="93" ht="23.2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</row>
    <row r="94" ht="23.2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</row>
    <row r="95" ht="23.2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</row>
    <row r="96" ht="23.2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</row>
    <row r="97" ht="23.2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</row>
    <row r="98" ht="23.2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</row>
    <row r="99" ht="23.2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</row>
    <row r="100" ht="23.2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</row>
    <row r="101" ht="23.2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</row>
    <row r="102" ht="23.2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</row>
    <row r="103" ht="23.2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</row>
    <row r="104" ht="23.2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</row>
    <row r="105" ht="23.2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</row>
    <row r="106" ht="23.2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</row>
    <row r="107" ht="23.2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</row>
    <row r="108" ht="23.2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</row>
    <row r="109" ht="23.2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</row>
    <row r="110" ht="23.2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</row>
    <row r="111" ht="23.2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</row>
    <row r="112" ht="23.2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</row>
    <row r="113" ht="23.2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</row>
    <row r="114" ht="23.2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</row>
    <row r="115" ht="23.2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</row>
    <row r="116" ht="23.2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</row>
    <row r="117" ht="23.2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</row>
    <row r="118" ht="23.2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</row>
    <row r="119" ht="23.2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</row>
    <row r="120" ht="23.2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</row>
    <row r="121" ht="23.2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</row>
    <row r="122" ht="23.2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</row>
    <row r="123" ht="23.2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</row>
    <row r="124" ht="23.2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</row>
    <row r="125" ht="23.2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</row>
    <row r="126" ht="23.2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</row>
    <row r="127" ht="23.2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</row>
    <row r="128" ht="23.2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</row>
    <row r="129" ht="23.2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</row>
    <row r="130" ht="23.2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</row>
    <row r="131" ht="23.2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</row>
    <row r="132" ht="23.2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</row>
    <row r="133" ht="23.2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</row>
    <row r="134" ht="23.2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</row>
    <row r="135" ht="23.2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</row>
    <row r="136" ht="23.2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</row>
    <row r="137" ht="23.2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</row>
    <row r="138" ht="23.2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</row>
    <row r="139" ht="23.2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</row>
    <row r="140" ht="23.2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</row>
    <row r="141" ht="23.2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</row>
    <row r="142" ht="23.2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</row>
    <row r="143" ht="23.2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</row>
    <row r="144" ht="23.2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</row>
    <row r="145" ht="23.2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</row>
    <row r="146" ht="23.2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</row>
    <row r="147" ht="23.2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</row>
    <row r="148" ht="23.2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</row>
    <row r="149" ht="23.2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</row>
    <row r="150" ht="23.2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</row>
    <row r="151" ht="23.2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</row>
    <row r="152" ht="23.2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</row>
    <row r="153" ht="23.2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</row>
    <row r="154" ht="23.2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</row>
    <row r="155" ht="23.2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</row>
    <row r="156" ht="23.2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</row>
    <row r="157" ht="23.2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</row>
    <row r="158" ht="23.2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</row>
    <row r="159" ht="23.2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</row>
    <row r="160" ht="23.2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</row>
    <row r="161" ht="23.2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</row>
    <row r="162" ht="23.2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</row>
    <row r="163" ht="23.2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</row>
    <row r="164" ht="23.2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</row>
    <row r="165" ht="23.2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</row>
    <row r="166" ht="23.2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</row>
    <row r="167" ht="23.2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</row>
    <row r="168" ht="23.2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</row>
    <row r="169" ht="23.2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</row>
    <row r="170" ht="23.2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</row>
    <row r="171" ht="23.2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</row>
    <row r="172" ht="23.2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</row>
    <row r="173" ht="23.2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</row>
    <row r="174" ht="23.2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</row>
    <row r="175" ht="23.2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</row>
    <row r="176" ht="23.2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</row>
    <row r="177" ht="23.2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</row>
    <row r="178" ht="23.2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</row>
    <row r="179" ht="23.2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</row>
    <row r="180" ht="23.2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</row>
    <row r="181" ht="23.2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</row>
    <row r="182" ht="23.2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</row>
    <row r="183" ht="23.2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</row>
    <row r="184" ht="23.2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</row>
    <row r="185" ht="23.2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</row>
    <row r="186" ht="23.2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</row>
    <row r="187" ht="23.2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</row>
    <row r="188" ht="23.2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</row>
    <row r="189" ht="23.2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</row>
    <row r="190" ht="23.2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</row>
    <row r="191" ht="23.2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</row>
    <row r="192" ht="23.2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</row>
    <row r="193" ht="23.2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</row>
    <row r="194" ht="23.2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</row>
    <row r="195" ht="23.2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</row>
    <row r="196" ht="23.2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</row>
    <row r="197" ht="23.2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</row>
    <row r="198" ht="23.2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</row>
    <row r="199" ht="23.2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</row>
    <row r="200" ht="23.2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</row>
    <row r="201" ht="23.2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</row>
    <row r="202" ht="23.2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</row>
    <row r="203" ht="23.2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</row>
    <row r="204" ht="23.2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</row>
    <row r="205" ht="23.2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</row>
    <row r="206" ht="23.2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</row>
    <row r="207" ht="23.2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</row>
    <row r="208" ht="23.2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</row>
    <row r="209" ht="23.2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</row>
    <row r="210" ht="23.2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</row>
    <row r="211" ht="23.2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</row>
    <row r="212" ht="23.2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</row>
    <row r="213" ht="23.2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</row>
    <row r="214" ht="23.2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</row>
    <row r="215" ht="23.2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</row>
    <row r="216" ht="23.2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</row>
    <row r="217" ht="23.2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</row>
    <row r="218" ht="23.2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</row>
    <row r="219" ht="23.2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</row>
    <row r="220" ht="23.2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</row>
    <row r="221" ht="23.2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</row>
    <row r="222" ht="23.2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</row>
    <row r="223" ht="23.2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</row>
    <row r="224" ht="23.2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</row>
    <row r="225" ht="23.2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</row>
    <row r="226" ht="23.2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</row>
    <row r="227" ht="23.2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</row>
    <row r="228" ht="23.2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</row>
    <row r="229" ht="23.2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</row>
    <row r="230" ht="23.2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</row>
    <row r="231" ht="23.2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</row>
    <row r="232" ht="23.2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</row>
    <row r="233" ht="23.2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</row>
    <row r="234" ht="23.2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</row>
    <row r="235" ht="23.2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</row>
    <row r="236" ht="23.2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</row>
    <row r="237" ht="23.2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</row>
    <row r="238" ht="23.2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</row>
    <row r="239" ht="23.2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</row>
    <row r="240" ht="23.2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</row>
    <row r="241" ht="23.2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</row>
    <row r="242" ht="23.2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</row>
    <row r="243" ht="23.2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</row>
    <row r="244" ht="23.2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</row>
    <row r="245" ht="23.2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</row>
    <row r="246" ht="23.2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</row>
    <row r="247" ht="23.2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</row>
    <row r="248" ht="23.2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</row>
    <row r="249" ht="23.2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</row>
    <row r="250" ht="23.2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</row>
    <row r="251" ht="23.2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</row>
    <row r="252" ht="23.2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</row>
    <row r="253" ht="23.2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</row>
    <row r="254" ht="23.2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</row>
    <row r="255" ht="23.2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</row>
    <row r="256" ht="23.2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</row>
    <row r="257" ht="23.2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</row>
    <row r="258" ht="23.2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</row>
    <row r="259" ht="23.2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</row>
    <row r="260" ht="23.2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</row>
    <row r="261" ht="23.2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</row>
    <row r="262" ht="23.2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</row>
    <row r="263" ht="23.2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</row>
    <row r="264" ht="23.2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</row>
    <row r="265" ht="23.2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</row>
    <row r="266" ht="23.2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</row>
    <row r="267" ht="23.2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</row>
    <row r="268" ht="23.2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</row>
    <row r="269" ht="23.2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</row>
    <row r="270" ht="23.2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</row>
    <row r="271" ht="23.2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</row>
    <row r="272" ht="23.2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</row>
    <row r="273" ht="23.2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</row>
    <row r="274" ht="23.2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</row>
    <row r="275" ht="23.2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</row>
    <row r="276" ht="23.2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</row>
    <row r="277" ht="23.2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</row>
    <row r="278" ht="23.2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</row>
    <row r="279" ht="23.2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</row>
    <row r="280" ht="23.2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</row>
    <row r="281" ht="23.2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</row>
    <row r="282" ht="23.2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</row>
    <row r="283" ht="23.2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</row>
    <row r="284" ht="23.2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</row>
    <row r="285" ht="23.2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</row>
    <row r="286" ht="23.2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</row>
    <row r="287" ht="23.2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</row>
    <row r="288" ht="23.2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</row>
    <row r="289" ht="23.2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</row>
    <row r="290" ht="23.2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</row>
    <row r="291" ht="23.2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</row>
    <row r="292" ht="23.2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</row>
    <row r="293" ht="23.2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</row>
    <row r="294" ht="23.2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</row>
    <row r="295" ht="23.2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</row>
    <row r="296" ht="23.2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</row>
    <row r="297" ht="23.2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</row>
    <row r="298" ht="23.2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</row>
    <row r="299" ht="23.2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</row>
    <row r="300" ht="23.2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</row>
    <row r="301" ht="23.2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</row>
    <row r="302" ht="23.2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</row>
    <row r="303" ht="23.2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</row>
    <row r="304" ht="23.2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</row>
    <row r="305" ht="23.2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</row>
    <row r="306" ht="23.2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</row>
    <row r="307" ht="23.2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</row>
    <row r="308" ht="23.2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</row>
    <row r="309" ht="23.2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</row>
    <row r="310" ht="23.2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</row>
    <row r="311" ht="23.2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</row>
    <row r="312" ht="23.2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</row>
    <row r="313" ht="23.2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</row>
    <row r="314" ht="23.2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</row>
    <row r="315" ht="23.2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</row>
    <row r="316" ht="23.2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</row>
    <row r="317" ht="23.2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</row>
    <row r="318" ht="23.2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</row>
    <row r="319" ht="23.2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</row>
    <row r="320" ht="23.2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</row>
    <row r="321" ht="23.2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</row>
    <row r="322" ht="23.2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</row>
    <row r="323" ht="23.2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</row>
    <row r="324" ht="23.2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</row>
    <row r="325" ht="23.2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</row>
    <row r="326" ht="23.2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</row>
    <row r="327" ht="23.2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</row>
    <row r="328" ht="23.2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</row>
    <row r="329" ht="23.2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</row>
    <row r="330" ht="23.2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</row>
    <row r="331" ht="23.2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</row>
    <row r="332" ht="23.2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</row>
    <row r="333" ht="23.2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</row>
    <row r="334" ht="23.2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</row>
    <row r="335" ht="23.2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</row>
    <row r="336" ht="23.2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</row>
    <row r="337" ht="23.2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</row>
    <row r="338" ht="23.2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</row>
    <row r="339" ht="23.2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</row>
    <row r="340" ht="23.2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</row>
    <row r="341" ht="23.2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</row>
    <row r="342" ht="23.2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</row>
    <row r="343" ht="23.2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</row>
    <row r="344" ht="23.2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</row>
    <row r="345" ht="23.2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</row>
    <row r="346" ht="23.2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</row>
    <row r="347" ht="23.2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</row>
    <row r="348" ht="23.2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</row>
    <row r="349" ht="23.2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</row>
    <row r="350" ht="23.2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</row>
    <row r="351" ht="23.2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</row>
    <row r="352" ht="23.2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</row>
    <row r="353" ht="23.2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</row>
    <row r="354" ht="23.2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</row>
    <row r="355" ht="23.2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</row>
    <row r="356" ht="23.2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</row>
    <row r="357" ht="23.2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</row>
    <row r="358" ht="23.2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</row>
    <row r="359" ht="23.2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</row>
    <row r="360" ht="23.2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</row>
    <row r="361" ht="23.2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</row>
    <row r="362" ht="23.2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</row>
    <row r="363" ht="23.2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</row>
    <row r="364" ht="23.2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</row>
    <row r="365" ht="23.2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</row>
    <row r="366" ht="23.2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</row>
    <row r="367" ht="23.2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</row>
    <row r="368" ht="23.2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</row>
    <row r="369" ht="23.2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</row>
    <row r="370" ht="23.2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</row>
    <row r="371" ht="23.2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</row>
    <row r="372" ht="23.2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</row>
    <row r="373" ht="23.2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</row>
    <row r="374" ht="23.2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</row>
    <row r="375" ht="23.2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</row>
    <row r="376" ht="23.2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</row>
    <row r="377" ht="23.2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</row>
    <row r="378" ht="23.2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</row>
    <row r="379" ht="23.2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</row>
    <row r="380" ht="23.2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</row>
    <row r="381" ht="23.2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</row>
    <row r="382" ht="23.2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</row>
    <row r="383" ht="23.2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</row>
    <row r="384" ht="23.2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</row>
    <row r="385" ht="23.2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</row>
    <row r="386" ht="23.2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</row>
    <row r="387" ht="23.2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</row>
    <row r="388" ht="23.2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</row>
    <row r="389" ht="23.2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</row>
    <row r="390" ht="23.2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</row>
    <row r="391" ht="23.2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</row>
    <row r="392" ht="23.2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</row>
    <row r="393" ht="23.2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</row>
    <row r="394" ht="23.2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</row>
    <row r="395" ht="23.2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</row>
    <row r="396" ht="23.2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</row>
    <row r="397" ht="23.2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</row>
    <row r="398" ht="23.2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</row>
    <row r="399" ht="23.2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</row>
    <row r="400" ht="23.2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</row>
    <row r="401" ht="23.2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</row>
    <row r="402" ht="23.2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</row>
    <row r="403" ht="23.2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</row>
    <row r="404" ht="23.2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</row>
    <row r="405" ht="23.2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</row>
    <row r="406" ht="23.2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</row>
    <row r="407" ht="23.2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</row>
    <row r="408" ht="23.2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</row>
    <row r="409" ht="23.2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</row>
    <row r="410" ht="23.2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</row>
    <row r="411" ht="23.2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</row>
    <row r="412" ht="23.2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</row>
    <row r="413" ht="23.2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</row>
    <row r="414" ht="23.2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</row>
    <row r="415" ht="23.2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</row>
    <row r="416" ht="23.2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</row>
    <row r="417" ht="23.2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</row>
    <row r="418" ht="23.2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</row>
    <row r="419" ht="23.2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</row>
    <row r="420" ht="23.2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</row>
    <row r="421" ht="23.2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</row>
    <row r="422" ht="23.2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</row>
    <row r="423" ht="23.2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</row>
    <row r="424" ht="23.2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</row>
    <row r="425" ht="23.2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</row>
    <row r="426" ht="23.2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</row>
    <row r="427" ht="23.2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</row>
    <row r="428" ht="23.2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</row>
    <row r="429" ht="23.2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</row>
    <row r="430" ht="23.2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</row>
    <row r="431" ht="23.2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</row>
    <row r="432" ht="23.2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</row>
    <row r="433" ht="23.2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</row>
    <row r="434" ht="23.2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</row>
    <row r="435" ht="23.2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</row>
    <row r="436" ht="23.2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</row>
    <row r="437" ht="23.2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</row>
    <row r="438" ht="23.2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</row>
    <row r="439" ht="23.2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</row>
    <row r="440" ht="23.2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</row>
    <row r="441" ht="23.2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</row>
    <row r="442" ht="23.2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</row>
    <row r="443" ht="23.2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</row>
    <row r="444" ht="23.2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</row>
    <row r="445" ht="23.2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</row>
    <row r="446" ht="23.2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</row>
    <row r="447" ht="23.2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</row>
    <row r="448" ht="23.2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</row>
    <row r="449" ht="23.2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</row>
    <row r="450" ht="23.2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</row>
    <row r="451" ht="23.2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</row>
    <row r="452" ht="23.2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</row>
    <row r="453" ht="23.2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</row>
    <row r="454" ht="23.2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</row>
    <row r="455" ht="23.2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</row>
    <row r="456" ht="23.2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</row>
    <row r="457" ht="23.2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</row>
    <row r="458" ht="23.2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</row>
    <row r="459" ht="23.2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</row>
    <row r="460" ht="23.2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</row>
    <row r="461" ht="23.2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</row>
    <row r="462" ht="23.2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</row>
    <row r="463" ht="23.2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</row>
    <row r="464" ht="23.2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</row>
    <row r="465" ht="23.2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</row>
    <row r="466" ht="23.2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</row>
    <row r="467" ht="23.2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</row>
    <row r="468" ht="23.2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</row>
    <row r="469" ht="23.2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</row>
    <row r="470" ht="23.2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</row>
    <row r="471" ht="23.2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</row>
    <row r="472" ht="23.2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</row>
    <row r="473" ht="23.2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</row>
    <row r="474" ht="23.2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</row>
    <row r="475" ht="23.2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</row>
    <row r="476" ht="23.2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</row>
    <row r="477" ht="23.2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</row>
    <row r="478" ht="23.2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</row>
    <row r="479" ht="23.2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</row>
    <row r="480" ht="23.2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</row>
    <row r="481" ht="23.2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</row>
    <row r="482" ht="23.2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</row>
    <row r="483" ht="23.2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</row>
    <row r="484" ht="23.2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</row>
    <row r="485" ht="23.2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</row>
    <row r="486" ht="23.2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</row>
    <row r="487" ht="23.2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</row>
    <row r="488" ht="23.2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</row>
    <row r="489" ht="23.2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</row>
    <row r="490" ht="23.2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</row>
    <row r="491" ht="23.2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</row>
    <row r="492" ht="23.2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</row>
    <row r="1004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</row>
    <row r="1005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</row>
    <row r="1006">
      <c r="A1006" s="46"/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</row>
    <row r="1007">
      <c r="A1007" s="46"/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</row>
    <row r="1008">
      <c r="A1008" s="46"/>
      <c r="B1008" s="46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</row>
    <row r="1009">
      <c r="A1009" s="46"/>
      <c r="B1009" s="46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</row>
    <row r="1010">
      <c r="A1010" s="46"/>
      <c r="B1010" s="46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</row>
    <row r="1011">
      <c r="A1011" s="46"/>
      <c r="B1011" s="46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46"/>
      <c r="AD1011" s="46"/>
    </row>
    <row r="1012">
      <c r="A1012" s="46"/>
      <c r="B1012" s="46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  <c r="AB1012" s="46"/>
      <c r="AC1012" s="46"/>
      <c r="AD1012" s="46"/>
    </row>
    <row r="1013">
      <c r="A1013" s="46"/>
      <c r="B1013" s="46"/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  <c r="AB1013" s="46"/>
      <c r="AC1013" s="46"/>
      <c r="AD1013" s="46"/>
    </row>
    <row r="1014">
      <c r="A1014" s="46"/>
      <c r="B1014" s="46"/>
      <c r="C1014" s="46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  <c r="AA1014" s="46"/>
      <c r="AB1014" s="46"/>
      <c r="AC1014" s="46"/>
      <c r="AD1014" s="46"/>
    </row>
    <row r="1015">
      <c r="A1015" s="46"/>
      <c r="B1015" s="46"/>
      <c r="C1015" s="46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  <c r="AA1015" s="46"/>
      <c r="AB1015" s="46"/>
      <c r="AC1015" s="46"/>
      <c r="AD1015" s="46"/>
    </row>
    <row r="1016">
      <c r="A1016" s="46"/>
      <c r="B1016" s="46"/>
      <c r="C1016" s="4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  <c r="AC1016" s="46"/>
      <c r="AD1016" s="46"/>
    </row>
    <row r="1017">
      <c r="A1017" s="46"/>
      <c r="B1017" s="46"/>
      <c r="C1017" s="46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  <c r="AA1017" s="46"/>
      <c r="AB1017" s="46"/>
      <c r="AC1017" s="46"/>
      <c r="AD1017" s="46"/>
    </row>
    <row r="1018">
      <c r="A1018" s="46"/>
      <c r="B1018" s="46"/>
      <c r="C1018" s="46"/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6"/>
      <c r="AB1018" s="46"/>
      <c r="AC1018" s="46"/>
      <c r="AD1018" s="46"/>
    </row>
    <row r="1019">
      <c r="A1019" s="46"/>
      <c r="B1019" s="46"/>
      <c r="C1019" s="46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  <c r="AB1019" s="46"/>
      <c r="AC1019" s="46"/>
      <c r="AD1019" s="46"/>
    </row>
    <row r="1020">
      <c r="A1020" s="46"/>
      <c r="B1020" s="46"/>
      <c r="C1020" s="4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  <c r="AA1020" s="46"/>
      <c r="AB1020" s="46"/>
      <c r="AC1020" s="46"/>
      <c r="AD1020" s="46"/>
    </row>
  </sheetData>
  <mergeCells count="4">
    <mergeCell ref="D2:H2"/>
    <mergeCell ref="J2:N2"/>
    <mergeCell ref="E44:G44"/>
    <mergeCell ref="K44:M4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7" t="s">
        <v>72</v>
      </c>
      <c r="B1" s="57" t="s">
        <v>73</v>
      </c>
      <c r="C1" s="57" t="s">
        <v>74</v>
      </c>
      <c r="D1" s="57" t="s">
        <v>75</v>
      </c>
      <c r="E1" s="57" t="s">
        <v>76</v>
      </c>
      <c r="F1" s="57" t="s">
        <v>77</v>
      </c>
      <c r="G1" s="57" t="s">
        <v>78</v>
      </c>
    </row>
    <row r="2">
      <c r="A2" s="58">
        <v>1.0</v>
      </c>
      <c r="B2" s="58">
        <v>9545.0</v>
      </c>
      <c r="C2" s="58">
        <v>10413.0</v>
      </c>
      <c r="D2" s="58">
        <v>7718.0</v>
      </c>
      <c r="E2" s="58">
        <v>3171.0</v>
      </c>
      <c r="F2" s="58">
        <v>7903.0</v>
      </c>
      <c r="G2" s="58">
        <v>7605.0</v>
      </c>
    </row>
    <row r="3">
      <c r="A3" s="58">
        <v>10.0</v>
      </c>
      <c r="B3" s="58">
        <v>10604.0</v>
      </c>
      <c r="C3" s="58">
        <v>6648.0</v>
      </c>
      <c r="D3" s="58">
        <v>2791.0</v>
      </c>
      <c r="E3" s="58">
        <v>1405.0</v>
      </c>
      <c r="F3" s="58">
        <v>6436.0</v>
      </c>
      <c r="G3" s="58">
        <v>9194.0</v>
      </c>
    </row>
    <row r="4">
      <c r="A4" s="58">
        <v>11.0</v>
      </c>
      <c r="B4" s="58">
        <v>6806.0</v>
      </c>
      <c r="C4" s="58">
        <v>3044.0</v>
      </c>
      <c r="D4" s="58">
        <v>7605.0</v>
      </c>
      <c r="E4" s="58">
        <v>677.0</v>
      </c>
      <c r="F4" s="58">
        <v>7903.0</v>
      </c>
      <c r="G4" s="58">
        <v>9624.0</v>
      </c>
    </row>
    <row r="5">
      <c r="A5" s="58">
        <v>12.0</v>
      </c>
      <c r="B5" s="58">
        <v>250.0</v>
      </c>
      <c r="C5" s="58">
        <v>4121.0</v>
      </c>
      <c r="D5" s="58">
        <v>263.0</v>
      </c>
      <c r="E5" s="58">
        <v>7031.0</v>
      </c>
      <c r="F5" s="58">
        <v>7718.0</v>
      </c>
      <c r="G5" s="58">
        <v>1880.0</v>
      </c>
    </row>
    <row r="6">
      <c r="A6" s="58">
        <v>13.0</v>
      </c>
      <c r="B6" s="58">
        <v>6621.0</v>
      </c>
      <c r="C6" s="58">
        <v>1796.0</v>
      </c>
      <c r="D6" s="58">
        <v>10413.0</v>
      </c>
      <c r="E6" s="58">
        <v>8222.0</v>
      </c>
      <c r="F6" s="58">
        <v>1559.0</v>
      </c>
      <c r="G6" s="58">
        <v>2340.0</v>
      </c>
    </row>
    <row r="7">
      <c r="A7" s="58">
        <v>14.0</v>
      </c>
      <c r="B7" s="58">
        <v>4122.0</v>
      </c>
      <c r="C7" s="58">
        <v>4930.0</v>
      </c>
      <c r="D7" s="58">
        <v>11010.0</v>
      </c>
      <c r="E7" s="58">
        <v>5590.0</v>
      </c>
      <c r="F7" s="58">
        <v>5149.0</v>
      </c>
      <c r="G7" s="58">
        <v>287.0</v>
      </c>
    </row>
    <row r="8">
      <c r="A8" s="58">
        <v>15.0</v>
      </c>
      <c r="B8" s="58">
        <v>229.0</v>
      </c>
      <c r="C8" s="58">
        <v>5881.0</v>
      </c>
      <c r="D8" s="58">
        <v>271.0</v>
      </c>
      <c r="E8" s="58">
        <v>806.0</v>
      </c>
      <c r="F8" s="58">
        <v>20.0</v>
      </c>
      <c r="G8" s="58">
        <v>533.0</v>
      </c>
    </row>
    <row r="9">
      <c r="A9" s="58">
        <v>16.0</v>
      </c>
      <c r="B9" s="58">
        <v>424.0</v>
      </c>
      <c r="C9" s="58">
        <v>7759.0</v>
      </c>
      <c r="D9" s="58">
        <v>3624.0</v>
      </c>
      <c r="E9" s="58">
        <v>191.0</v>
      </c>
      <c r="F9" s="58">
        <v>1493.0</v>
      </c>
      <c r="G9" s="58">
        <v>2053.0</v>
      </c>
    </row>
    <row r="10">
      <c r="A10" s="58">
        <v>17.0</v>
      </c>
      <c r="B10" s="58">
        <v>9194.0</v>
      </c>
      <c r="C10" s="58">
        <v>3171.0</v>
      </c>
      <c r="D10" s="58">
        <v>3173.0</v>
      </c>
      <c r="E10" s="58">
        <v>1591.0</v>
      </c>
      <c r="F10" s="58">
        <v>3003.0</v>
      </c>
      <c r="G10" s="58">
        <v>1126.0</v>
      </c>
    </row>
    <row r="11">
      <c r="A11" s="58">
        <v>18.0</v>
      </c>
      <c r="B11" s="58">
        <v>5736.0</v>
      </c>
      <c r="C11" s="58">
        <v>10604.0</v>
      </c>
      <c r="D11" s="58">
        <v>10714.0</v>
      </c>
      <c r="E11" s="58">
        <v>6648.0</v>
      </c>
      <c r="F11" s="58">
        <v>3181.0</v>
      </c>
      <c r="G11" s="58">
        <v>578.0</v>
      </c>
    </row>
    <row r="12">
      <c r="A12" s="58">
        <v>19.0</v>
      </c>
      <c r="B12" s="58">
        <v>1405.0</v>
      </c>
      <c r="C12" s="58">
        <v>2791.0</v>
      </c>
      <c r="D12" s="58">
        <v>870.0</v>
      </c>
      <c r="E12" s="58">
        <v>6300.0</v>
      </c>
      <c r="F12" s="58">
        <v>9545.0</v>
      </c>
      <c r="G12" s="58">
        <v>10582.0</v>
      </c>
    </row>
    <row r="13">
      <c r="A13" s="58">
        <v>2.0</v>
      </c>
      <c r="B13" s="58">
        <v>20.0</v>
      </c>
      <c r="C13" s="58">
        <v>677.0</v>
      </c>
      <c r="D13" s="58">
        <v>5881.0</v>
      </c>
      <c r="E13" s="58">
        <v>7759.0</v>
      </c>
      <c r="F13" s="58">
        <v>1880.0</v>
      </c>
      <c r="G13" s="58">
        <v>1796.0</v>
      </c>
    </row>
    <row r="14">
      <c r="A14" s="58">
        <v>20.0</v>
      </c>
      <c r="B14" s="58">
        <v>6463.0</v>
      </c>
      <c r="C14" s="58">
        <v>6436.0</v>
      </c>
      <c r="D14" s="58">
        <v>5016.0</v>
      </c>
      <c r="E14" s="58">
        <v>4601.0</v>
      </c>
      <c r="F14" s="58">
        <v>10202.0</v>
      </c>
      <c r="G14" s="58">
        <v>7504.0</v>
      </c>
    </row>
    <row r="15">
      <c r="A15" s="58">
        <v>21.0</v>
      </c>
      <c r="B15" s="58">
        <v>263.0</v>
      </c>
      <c r="C15" s="58">
        <v>677.0</v>
      </c>
      <c r="D15" s="58">
        <v>6806.0</v>
      </c>
      <c r="E15" s="58">
        <v>10413.0</v>
      </c>
      <c r="F15" s="58">
        <v>5590.0</v>
      </c>
      <c r="G15" s="58">
        <v>1559.0</v>
      </c>
    </row>
    <row r="16">
      <c r="A16" s="58">
        <v>22.0</v>
      </c>
      <c r="B16" s="58">
        <v>533.0</v>
      </c>
      <c r="C16" s="58">
        <v>7605.0</v>
      </c>
      <c r="D16" s="58">
        <v>5881.0</v>
      </c>
      <c r="E16" s="58">
        <v>7031.0</v>
      </c>
      <c r="F16" s="58">
        <v>8222.0</v>
      </c>
      <c r="G16" s="58">
        <v>6621.0</v>
      </c>
    </row>
    <row r="17">
      <c r="A17" s="58">
        <v>23.0</v>
      </c>
      <c r="B17" s="58">
        <v>1493.0</v>
      </c>
      <c r="C17" s="58">
        <v>9624.0</v>
      </c>
      <c r="D17" s="58">
        <v>5149.0</v>
      </c>
      <c r="E17" s="58">
        <v>2053.0</v>
      </c>
      <c r="F17" s="58">
        <v>7718.0</v>
      </c>
      <c r="G17" s="58">
        <v>287.0</v>
      </c>
    </row>
    <row r="18">
      <c r="A18" s="58">
        <v>24.0</v>
      </c>
      <c r="B18" s="58">
        <v>191.0</v>
      </c>
      <c r="C18" s="58">
        <v>1880.0</v>
      </c>
      <c r="D18" s="58">
        <v>3173.0</v>
      </c>
      <c r="E18" s="58">
        <v>271.0</v>
      </c>
      <c r="F18" s="58">
        <v>9194.0</v>
      </c>
      <c r="G18" s="58">
        <v>4122.0</v>
      </c>
    </row>
    <row r="19">
      <c r="A19" s="58">
        <v>25.0</v>
      </c>
      <c r="B19" s="58">
        <v>578.0</v>
      </c>
      <c r="C19" s="58">
        <v>10604.0</v>
      </c>
      <c r="D19" s="58">
        <v>3003.0</v>
      </c>
      <c r="E19" s="58">
        <v>1796.0</v>
      </c>
      <c r="F19" s="58">
        <v>806.0</v>
      </c>
      <c r="G19" s="58">
        <v>4930.0</v>
      </c>
    </row>
    <row r="20">
      <c r="A20" s="58">
        <v>26.0</v>
      </c>
      <c r="B20" s="58">
        <v>2791.0</v>
      </c>
      <c r="C20" s="58">
        <v>1591.0</v>
      </c>
      <c r="D20" s="58">
        <v>9545.0</v>
      </c>
      <c r="E20" s="58">
        <v>3624.0</v>
      </c>
      <c r="F20" s="58">
        <v>6648.0</v>
      </c>
      <c r="G20" s="58">
        <v>20.0</v>
      </c>
    </row>
    <row r="21">
      <c r="A21" s="58">
        <v>27.0</v>
      </c>
      <c r="B21" s="58">
        <v>424.0</v>
      </c>
      <c r="C21" s="58">
        <v>4601.0</v>
      </c>
      <c r="D21" s="58">
        <v>6436.0</v>
      </c>
      <c r="E21" s="58">
        <v>6300.0</v>
      </c>
      <c r="F21" s="58">
        <v>10714.0</v>
      </c>
      <c r="G21" s="58">
        <v>250.0</v>
      </c>
    </row>
    <row r="22">
      <c r="A22" s="58">
        <v>28.0</v>
      </c>
      <c r="B22" s="58">
        <v>3044.0</v>
      </c>
      <c r="C22" s="58">
        <v>2340.0</v>
      </c>
      <c r="D22" s="58">
        <v>7759.0</v>
      </c>
      <c r="E22" s="58">
        <v>7504.0</v>
      </c>
      <c r="F22" s="58">
        <v>229.0</v>
      </c>
      <c r="G22" s="58">
        <v>10582.0</v>
      </c>
    </row>
    <row r="23">
      <c r="A23" s="58">
        <v>29.0</v>
      </c>
      <c r="B23" s="58">
        <v>1405.0</v>
      </c>
      <c r="C23" s="58">
        <v>6463.0</v>
      </c>
      <c r="D23" s="58">
        <v>4121.0</v>
      </c>
      <c r="E23" s="58">
        <v>5736.0</v>
      </c>
      <c r="F23" s="58">
        <v>5016.0</v>
      </c>
      <c r="G23" s="58">
        <v>1126.0</v>
      </c>
    </row>
    <row r="24">
      <c r="A24" s="58">
        <v>3.0</v>
      </c>
      <c r="B24" s="58">
        <v>287.0</v>
      </c>
      <c r="C24" s="58">
        <v>3044.0</v>
      </c>
      <c r="D24" s="58">
        <v>8222.0</v>
      </c>
      <c r="E24" s="58">
        <v>4121.0</v>
      </c>
      <c r="F24" s="58">
        <v>6806.0</v>
      </c>
      <c r="G24" s="58">
        <v>578.0</v>
      </c>
    </row>
    <row r="25">
      <c r="A25" s="58">
        <v>30.0</v>
      </c>
      <c r="B25" s="58">
        <v>3171.0</v>
      </c>
      <c r="C25" s="58">
        <v>3181.0</v>
      </c>
      <c r="D25" s="58">
        <v>10202.0</v>
      </c>
      <c r="E25" s="58">
        <v>870.0</v>
      </c>
      <c r="F25" s="58">
        <v>11010.0</v>
      </c>
      <c r="G25" s="58">
        <v>7903.0</v>
      </c>
    </row>
    <row r="26">
      <c r="A26" s="58">
        <v>31.0</v>
      </c>
      <c r="B26" s="58">
        <v>287.0</v>
      </c>
      <c r="C26" s="58">
        <v>191.0</v>
      </c>
      <c r="D26" s="58">
        <v>9194.0</v>
      </c>
      <c r="E26" s="58">
        <v>7718.0</v>
      </c>
      <c r="F26" s="58">
        <v>6621.0</v>
      </c>
      <c r="G26" s="58">
        <v>677.0</v>
      </c>
    </row>
    <row r="27">
      <c r="A27" s="58">
        <v>32.0</v>
      </c>
      <c r="B27" s="58">
        <v>5149.0</v>
      </c>
      <c r="C27" s="58">
        <v>533.0</v>
      </c>
      <c r="D27" s="58">
        <v>263.0</v>
      </c>
      <c r="E27" s="58">
        <v>3003.0</v>
      </c>
      <c r="F27" s="58">
        <v>7605.0</v>
      </c>
      <c r="G27" s="58">
        <v>1796.0</v>
      </c>
    </row>
    <row r="28">
      <c r="A28" s="58">
        <v>33.0</v>
      </c>
      <c r="B28" s="58">
        <v>9545.0</v>
      </c>
      <c r="C28" s="58">
        <v>271.0</v>
      </c>
      <c r="D28" s="58">
        <v>6648.0</v>
      </c>
      <c r="E28" s="58">
        <v>7031.0</v>
      </c>
      <c r="F28" s="58">
        <v>1493.0</v>
      </c>
      <c r="G28" s="58">
        <v>4930.0</v>
      </c>
    </row>
    <row r="29">
      <c r="A29" s="58">
        <v>34.0</v>
      </c>
      <c r="B29" s="58">
        <v>4122.0</v>
      </c>
      <c r="C29" s="58">
        <v>2791.0</v>
      </c>
      <c r="D29" s="58">
        <v>4601.0</v>
      </c>
      <c r="E29" s="58">
        <v>10413.0</v>
      </c>
      <c r="F29" s="58">
        <v>578.0</v>
      </c>
      <c r="G29" s="58">
        <v>9624.0</v>
      </c>
    </row>
    <row r="30">
      <c r="A30" s="58">
        <v>35.0</v>
      </c>
      <c r="B30" s="58">
        <v>10582.0</v>
      </c>
      <c r="C30" s="58">
        <v>3044.0</v>
      </c>
      <c r="D30" s="58">
        <v>6436.0</v>
      </c>
      <c r="E30" s="58">
        <v>5881.0</v>
      </c>
      <c r="F30" s="58">
        <v>1559.0</v>
      </c>
      <c r="G30" s="58">
        <v>3624.0</v>
      </c>
    </row>
    <row r="31">
      <c r="A31" s="58">
        <v>36.0</v>
      </c>
      <c r="B31" s="58">
        <v>2053.0</v>
      </c>
      <c r="C31" s="58">
        <v>2340.0</v>
      </c>
      <c r="D31" s="58">
        <v>250.0</v>
      </c>
      <c r="E31" s="58">
        <v>1591.0</v>
      </c>
      <c r="F31" s="58">
        <v>5736.0</v>
      </c>
      <c r="G31" s="58">
        <v>5590.0</v>
      </c>
    </row>
    <row r="32">
      <c r="A32" s="58">
        <v>37.0</v>
      </c>
      <c r="B32" s="58">
        <v>7903.0</v>
      </c>
      <c r="C32" s="58">
        <v>20.0</v>
      </c>
      <c r="D32" s="58">
        <v>5016.0</v>
      </c>
      <c r="E32" s="58">
        <v>870.0</v>
      </c>
      <c r="F32" s="58">
        <v>424.0</v>
      </c>
      <c r="G32" s="58">
        <v>3173.0</v>
      </c>
    </row>
    <row r="33">
      <c r="A33" s="58">
        <v>38.0</v>
      </c>
      <c r="B33" s="58">
        <v>1126.0</v>
      </c>
      <c r="C33" s="58">
        <v>10202.0</v>
      </c>
      <c r="D33" s="58">
        <v>6463.0</v>
      </c>
      <c r="E33" s="58">
        <v>7759.0</v>
      </c>
      <c r="F33" s="58">
        <v>6300.0</v>
      </c>
      <c r="G33" s="58">
        <v>229.0</v>
      </c>
    </row>
    <row r="34">
      <c r="A34" s="58">
        <v>39.0</v>
      </c>
      <c r="B34" s="58">
        <v>10714.0</v>
      </c>
      <c r="C34" s="58">
        <v>4121.0</v>
      </c>
      <c r="D34" s="58">
        <v>7504.0</v>
      </c>
      <c r="E34" s="58">
        <v>6806.0</v>
      </c>
      <c r="F34" s="58">
        <v>3171.0</v>
      </c>
      <c r="G34" s="58">
        <v>10604.0</v>
      </c>
    </row>
    <row r="35">
      <c r="A35" s="58">
        <v>4.0</v>
      </c>
      <c r="B35" s="58">
        <v>3624.0</v>
      </c>
      <c r="C35" s="58">
        <v>3173.0</v>
      </c>
      <c r="D35" s="58">
        <v>263.0</v>
      </c>
      <c r="E35" s="58">
        <v>9624.0</v>
      </c>
      <c r="F35" s="58">
        <v>4601.0</v>
      </c>
      <c r="G35" s="58">
        <v>2340.0</v>
      </c>
    </row>
    <row r="36">
      <c r="A36" s="58">
        <v>40.0</v>
      </c>
      <c r="B36" s="58">
        <v>8222.0</v>
      </c>
      <c r="C36" s="58">
        <v>1405.0</v>
      </c>
      <c r="D36" s="58">
        <v>1880.0</v>
      </c>
      <c r="E36" s="58">
        <v>11010.0</v>
      </c>
      <c r="F36" s="58">
        <v>3181.0</v>
      </c>
      <c r="G36" s="58">
        <v>806.0</v>
      </c>
    </row>
    <row r="37">
      <c r="A37" s="58">
        <v>41.0</v>
      </c>
      <c r="B37" s="58">
        <v>578.0</v>
      </c>
      <c r="C37" s="58">
        <v>9194.0</v>
      </c>
      <c r="D37" s="58">
        <v>4930.0</v>
      </c>
      <c r="E37" s="58">
        <v>263.0</v>
      </c>
      <c r="F37" s="58">
        <v>10413.0</v>
      </c>
      <c r="G37" s="58">
        <v>1493.0</v>
      </c>
    </row>
    <row r="38">
      <c r="A38" s="58">
        <v>42.0</v>
      </c>
      <c r="B38" s="58">
        <v>3003.0</v>
      </c>
      <c r="C38" s="58">
        <v>5149.0</v>
      </c>
      <c r="D38" s="58">
        <v>4601.0</v>
      </c>
      <c r="E38" s="58">
        <v>3044.0</v>
      </c>
      <c r="F38" s="58">
        <v>5881.0</v>
      </c>
      <c r="G38" s="58">
        <v>9545.0</v>
      </c>
    </row>
    <row r="39">
      <c r="A39" s="58">
        <v>43.0</v>
      </c>
      <c r="B39" s="58">
        <v>1591.0</v>
      </c>
      <c r="C39" s="58">
        <v>1796.0</v>
      </c>
      <c r="D39" s="58">
        <v>7031.0</v>
      </c>
      <c r="E39" s="58">
        <v>9624.0</v>
      </c>
      <c r="F39" s="58">
        <v>10582.0</v>
      </c>
      <c r="G39" s="58">
        <v>191.0</v>
      </c>
    </row>
    <row r="40">
      <c r="A40" s="58">
        <v>44.0</v>
      </c>
      <c r="B40" s="58">
        <v>6436.0</v>
      </c>
      <c r="C40" s="58">
        <v>870.0</v>
      </c>
      <c r="D40" s="58">
        <v>20.0</v>
      </c>
      <c r="E40" s="58">
        <v>5736.0</v>
      </c>
      <c r="F40" s="58">
        <v>2340.0</v>
      </c>
      <c r="G40" s="58">
        <v>4122.0</v>
      </c>
    </row>
    <row r="41">
      <c r="A41" s="58">
        <v>45.0</v>
      </c>
      <c r="B41" s="58">
        <v>1559.0</v>
      </c>
      <c r="C41" s="58">
        <v>2053.0</v>
      </c>
      <c r="D41" s="58">
        <v>7605.0</v>
      </c>
      <c r="E41" s="58">
        <v>10202.0</v>
      </c>
      <c r="F41" s="58">
        <v>3173.0</v>
      </c>
      <c r="G41" s="58">
        <v>229.0</v>
      </c>
    </row>
    <row r="42">
      <c r="A42" s="58">
        <v>46.0</v>
      </c>
      <c r="B42" s="58">
        <v>7718.0</v>
      </c>
      <c r="C42" s="58">
        <v>6300.0</v>
      </c>
      <c r="D42" s="58">
        <v>3624.0</v>
      </c>
      <c r="E42" s="58">
        <v>5590.0</v>
      </c>
      <c r="F42" s="58">
        <v>271.0</v>
      </c>
      <c r="G42" s="58">
        <v>10604.0</v>
      </c>
    </row>
    <row r="43">
      <c r="A43" s="58">
        <v>47.0</v>
      </c>
      <c r="B43" s="58">
        <v>3181.0</v>
      </c>
      <c r="C43" s="58">
        <v>7504.0</v>
      </c>
      <c r="D43" s="58">
        <v>1405.0</v>
      </c>
      <c r="E43" s="58">
        <v>424.0</v>
      </c>
      <c r="F43" s="58">
        <v>6621.0</v>
      </c>
      <c r="G43" s="58">
        <v>4121.0</v>
      </c>
    </row>
    <row r="44">
      <c r="A44" s="58">
        <v>48.0</v>
      </c>
      <c r="B44" s="58">
        <v>8222.0</v>
      </c>
      <c r="C44" s="58">
        <v>250.0</v>
      </c>
      <c r="D44" s="58">
        <v>3171.0</v>
      </c>
      <c r="E44" s="58">
        <v>2791.0</v>
      </c>
      <c r="F44" s="58">
        <v>677.0</v>
      </c>
      <c r="G44" s="58">
        <v>6463.0</v>
      </c>
    </row>
    <row r="45">
      <c r="A45" s="58">
        <v>49.0</v>
      </c>
      <c r="B45" s="58">
        <v>11010.0</v>
      </c>
      <c r="C45" s="58">
        <v>6806.0</v>
      </c>
      <c r="D45" s="58">
        <v>7759.0</v>
      </c>
      <c r="E45" s="58">
        <v>5016.0</v>
      </c>
      <c r="F45" s="58">
        <v>533.0</v>
      </c>
      <c r="G45" s="58">
        <v>6648.0</v>
      </c>
    </row>
    <row r="46">
      <c r="A46" s="58">
        <v>5.0</v>
      </c>
      <c r="B46" s="58">
        <v>4122.0</v>
      </c>
      <c r="C46" s="58">
        <v>7504.0</v>
      </c>
      <c r="D46" s="58">
        <v>3003.0</v>
      </c>
      <c r="E46" s="58">
        <v>250.0</v>
      </c>
      <c r="F46" s="58">
        <v>7031.0</v>
      </c>
      <c r="G46" s="58">
        <v>1559.0</v>
      </c>
    </row>
    <row r="47">
      <c r="A47" s="58">
        <v>50.0</v>
      </c>
      <c r="B47" s="58">
        <v>1880.0</v>
      </c>
      <c r="C47" s="58">
        <v>1126.0</v>
      </c>
      <c r="D47" s="58">
        <v>806.0</v>
      </c>
      <c r="E47" s="58">
        <v>7903.0</v>
      </c>
      <c r="F47" s="58">
        <v>287.0</v>
      </c>
      <c r="G47" s="58">
        <v>10714.0</v>
      </c>
    </row>
    <row r="48">
      <c r="A48" s="58">
        <v>51.0</v>
      </c>
      <c r="B48" s="58">
        <v>870.0</v>
      </c>
      <c r="C48" s="58">
        <v>4122.0</v>
      </c>
      <c r="D48" s="58">
        <v>3044.0</v>
      </c>
      <c r="E48" s="58">
        <v>5881.0</v>
      </c>
      <c r="F48" s="58">
        <v>263.0</v>
      </c>
      <c r="G48" s="58">
        <v>1591.0</v>
      </c>
    </row>
    <row r="49">
      <c r="A49" s="58">
        <v>52.0</v>
      </c>
      <c r="B49" s="58">
        <v>4601.0</v>
      </c>
      <c r="C49" s="58">
        <v>7031.0</v>
      </c>
      <c r="D49" s="58">
        <v>9194.0</v>
      </c>
      <c r="E49" s="58">
        <v>229.0</v>
      </c>
      <c r="F49" s="58">
        <v>5736.0</v>
      </c>
      <c r="G49" s="58">
        <v>2053.0</v>
      </c>
    </row>
    <row r="50">
      <c r="A50" s="58">
        <v>53.0</v>
      </c>
      <c r="B50" s="58">
        <v>10582.0</v>
      </c>
      <c r="C50" s="58">
        <v>20.0</v>
      </c>
      <c r="D50" s="58">
        <v>10604.0</v>
      </c>
      <c r="E50" s="58">
        <v>3003.0</v>
      </c>
      <c r="F50" s="58">
        <v>191.0</v>
      </c>
      <c r="G50" s="58">
        <v>10413.0</v>
      </c>
    </row>
    <row r="51">
      <c r="A51" s="58">
        <v>54.0</v>
      </c>
      <c r="B51" s="58">
        <v>6300.0</v>
      </c>
      <c r="C51" s="58">
        <v>3173.0</v>
      </c>
      <c r="D51" s="58">
        <v>578.0</v>
      </c>
      <c r="E51" s="58">
        <v>7504.0</v>
      </c>
      <c r="F51" s="58">
        <v>6621.0</v>
      </c>
      <c r="G51" s="58">
        <v>5149.0</v>
      </c>
    </row>
    <row r="52">
      <c r="A52" s="58">
        <v>55.0</v>
      </c>
      <c r="B52" s="58">
        <v>5590.0</v>
      </c>
      <c r="C52" s="58">
        <v>6463.0</v>
      </c>
      <c r="D52" s="58">
        <v>1796.0</v>
      </c>
      <c r="E52" s="58">
        <v>3181.0</v>
      </c>
      <c r="F52" s="58">
        <v>9545.0</v>
      </c>
      <c r="G52" s="58">
        <v>6436.0</v>
      </c>
    </row>
    <row r="53">
      <c r="A53" s="58">
        <v>56.0</v>
      </c>
      <c r="B53" s="58">
        <v>2340.0</v>
      </c>
      <c r="C53" s="58">
        <v>1493.0</v>
      </c>
      <c r="D53" s="58">
        <v>677.0</v>
      </c>
      <c r="E53" s="58">
        <v>11010.0</v>
      </c>
      <c r="F53" s="58">
        <v>4121.0</v>
      </c>
      <c r="G53" s="58">
        <v>533.0</v>
      </c>
    </row>
    <row r="54">
      <c r="A54" s="58">
        <v>57.0</v>
      </c>
      <c r="B54" s="58">
        <v>250.0</v>
      </c>
      <c r="C54" s="58">
        <v>271.0</v>
      </c>
      <c r="D54" s="58">
        <v>7903.0</v>
      </c>
      <c r="E54" s="58">
        <v>7605.0</v>
      </c>
      <c r="F54" s="58">
        <v>1405.0</v>
      </c>
      <c r="G54" s="58">
        <v>7759.0</v>
      </c>
    </row>
    <row r="55">
      <c r="A55" s="58">
        <v>58.0</v>
      </c>
      <c r="B55" s="58">
        <v>6806.0</v>
      </c>
      <c r="C55" s="58">
        <v>287.0</v>
      </c>
      <c r="D55" s="58">
        <v>1880.0</v>
      </c>
      <c r="E55" s="58">
        <v>3624.0</v>
      </c>
      <c r="F55" s="58">
        <v>10202.0</v>
      </c>
      <c r="G55" s="58">
        <v>2791.0</v>
      </c>
    </row>
    <row r="56">
      <c r="A56" s="58">
        <v>59.0</v>
      </c>
      <c r="B56" s="58">
        <v>1559.0</v>
      </c>
      <c r="C56" s="58">
        <v>5016.0</v>
      </c>
      <c r="D56" s="58">
        <v>9624.0</v>
      </c>
      <c r="E56" s="58">
        <v>10714.0</v>
      </c>
      <c r="F56" s="58">
        <v>806.0</v>
      </c>
      <c r="G56" s="58">
        <v>3171.0</v>
      </c>
    </row>
    <row r="57">
      <c r="A57" s="58">
        <v>6.0</v>
      </c>
      <c r="B57" s="58">
        <v>229.0</v>
      </c>
      <c r="C57" s="58">
        <v>533.0</v>
      </c>
      <c r="D57" s="58">
        <v>6621.0</v>
      </c>
      <c r="E57" s="58">
        <v>4930.0</v>
      </c>
      <c r="F57" s="58">
        <v>5590.0</v>
      </c>
      <c r="G57" s="58">
        <v>870.0</v>
      </c>
    </row>
    <row r="58">
      <c r="A58" s="58">
        <v>60.0</v>
      </c>
      <c r="B58" s="58">
        <v>6648.0</v>
      </c>
      <c r="C58" s="58">
        <v>4930.0</v>
      </c>
      <c r="D58" s="58">
        <v>424.0</v>
      </c>
      <c r="E58" s="58">
        <v>7718.0</v>
      </c>
      <c r="F58" s="58">
        <v>1126.0</v>
      </c>
      <c r="G58" s="58">
        <v>8222.0</v>
      </c>
    </row>
    <row r="59">
      <c r="A59" s="58">
        <v>61.0</v>
      </c>
      <c r="B59" s="58">
        <v>10604.0</v>
      </c>
      <c r="C59" s="58">
        <v>2053.0</v>
      </c>
      <c r="D59" s="58">
        <v>6621.0</v>
      </c>
      <c r="E59" s="58">
        <v>20.0</v>
      </c>
      <c r="F59" s="58">
        <v>263.0</v>
      </c>
      <c r="G59" s="58">
        <v>3044.0</v>
      </c>
    </row>
    <row r="60">
      <c r="A60" s="58">
        <v>62.0</v>
      </c>
      <c r="B60" s="58">
        <v>6463.0</v>
      </c>
      <c r="C60" s="58">
        <v>10413.0</v>
      </c>
      <c r="D60" s="58">
        <v>6300.0</v>
      </c>
      <c r="E60" s="58">
        <v>3173.0</v>
      </c>
      <c r="F60" s="58">
        <v>5881.0</v>
      </c>
      <c r="G60" s="58">
        <v>7031.0</v>
      </c>
    </row>
    <row r="61">
      <c r="A61" s="58">
        <v>63.0</v>
      </c>
      <c r="B61" s="58">
        <v>1493.0</v>
      </c>
      <c r="C61" s="58">
        <v>229.0</v>
      </c>
      <c r="D61" s="58">
        <v>3003.0</v>
      </c>
      <c r="E61" s="58">
        <v>677.0</v>
      </c>
      <c r="F61" s="58">
        <v>4122.0</v>
      </c>
      <c r="G61" s="58">
        <v>3181.0</v>
      </c>
    </row>
    <row r="62">
      <c r="A62" s="58">
        <v>64.0</v>
      </c>
      <c r="B62" s="58">
        <v>9194.0</v>
      </c>
      <c r="C62" s="58">
        <v>10582.0</v>
      </c>
      <c r="D62" s="58">
        <v>5590.0</v>
      </c>
      <c r="E62" s="58">
        <v>4601.0</v>
      </c>
      <c r="F62" s="58">
        <v>7605.0</v>
      </c>
      <c r="G62" s="58">
        <v>4121.0</v>
      </c>
    </row>
    <row r="63">
      <c r="A63" s="58">
        <v>65.0</v>
      </c>
      <c r="B63" s="58">
        <v>2791.0</v>
      </c>
      <c r="C63" s="58">
        <v>7903.0</v>
      </c>
      <c r="D63" s="58">
        <v>6806.0</v>
      </c>
      <c r="E63" s="58">
        <v>2340.0</v>
      </c>
      <c r="F63" s="58">
        <v>1796.0</v>
      </c>
      <c r="G63" s="58">
        <v>271.0</v>
      </c>
    </row>
    <row r="64">
      <c r="A64" s="58">
        <v>66.0</v>
      </c>
      <c r="B64" s="58">
        <v>5016.0</v>
      </c>
      <c r="C64" s="58">
        <v>3171.0</v>
      </c>
      <c r="D64" s="58">
        <v>1405.0</v>
      </c>
      <c r="E64" s="58">
        <v>533.0</v>
      </c>
      <c r="F64" s="58">
        <v>3624.0</v>
      </c>
      <c r="G64" s="58">
        <v>287.0</v>
      </c>
    </row>
    <row r="65">
      <c r="A65" s="58">
        <v>67.0</v>
      </c>
      <c r="B65" s="58">
        <v>4930.0</v>
      </c>
      <c r="C65" s="58">
        <v>9624.0</v>
      </c>
      <c r="D65" s="58">
        <v>1126.0</v>
      </c>
      <c r="E65" s="58">
        <v>7504.0</v>
      </c>
      <c r="F65" s="58">
        <v>11010.0</v>
      </c>
      <c r="G65" s="58">
        <v>250.0</v>
      </c>
    </row>
    <row r="66">
      <c r="A66" s="58">
        <v>68.0</v>
      </c>
      <c r="B66" s="58">
        <v>1559.0</v>
      </c>
      <c r="C66" s="58">
        <v>870.0</v>
      </c>
      <c r="D66" s="58">
        <v>6648.0</v>
      </c>
      <c r="E66" s="58">
        <v>1880.0</v>
      </c>
      <c r="F66" s="58">
        <v>5149.0</v>
      </c>
      <c r="G66" s="58">
        <v>424.0</v>
      </c>
    </row>
    <row r="67">
      <c r="A67" s="58">
        <v>69.0</v>
      </c>
      <c r="B67" s="58">
        <v>806.0</v>
      </c>
      <c r="C67" s="58">
        <v>578.0</v>
      </c>
      <c r="D67" s="58">
        <v>7718.0</v>
      </c>
      <c r="E67" s="58">
        <v>7759.0</v>
      </c>
      <c r="F67" s="58">
        <v>6436.0</v>
      </c>
      <c r="G67" s="58">
        <v>1591.0</v>
      </c>
    </row>
    <row r="68">
      <c r="A68" s="58">
        <v>7.0</v>
      </c>
      <c r="B68" s="58">
        <v>5149.0</v>
      </c>
      <c r="C68" s="58">
        <v>1591.0</v>
      </c>
      <c r="D68" s="58">
        <v>11010.0</v>
      </c>
      <c r="E68" s="58">
        <v>6463.0</v>
      </c>
      <c r="F68" s="58">
        <v>10714.0</v>
      </c>
      <c r="G68" s="58">
        <v>271.0</v>
      </c>
    </row>
    <row r="69">
      <c r="A69" s="58">
        <v>70.0</v>
      </c>
      <c r="B69" s="58">
        <v>191.0</v>
      </c>
      <c r="C69" s="58">
        <v>9545.0</v>
      </c>
      <c r="D69" s="58">
        <v>5736.0</v>
      </c>
      <c r="E69" s="58">
        <v>10202.0</v>
      </c>
      <c r="F69" s="58">
        <v>8222.0</v>
      </c>
      <c r="G69" s="58">
        <v>10714.0</v>
      </c>
    </row>
    <row r="70">
      <c r="A70" s="58">
        <v>71.0</v>
      </c>
      <c r="B70" s="58">
        <v>677.0</v>
      </c>
      <c r="C70" s="58">
        <v>10582.0</v>
      </c>
      <c r="D70" s="58">
        <v>2053.0</v>
      </c>
      <c r="E70" s="58">
        <v>10604.0</v>
      </c>
      <c r="F70" s="58">
        <v>4122.0</v>
      </c>
      <c r="G70" s="58">
        <v>6463.0</v>
      </c>
    </row>
    <row r="71">
      <c r="A71" s="58">
        <v>72.0</v>
      </c>
      <c r="B71" s="58">
        <v>3181.0</v>
      </c>
      <c r="C71" s="58">
        <v>5590.0</v>
      </c>
      <c r="D71" s="58">
        <v>7031.0</v>
      </c>
      <c r="E71" s="58">
        <v>3173.0</v>
      </c>
      <c r="F71" s="58">
        <v>2791.0</v>
      </c>
      <c r="G71" s="58">
        <v>3044.0</v>
      </c>
    </row>
    <row r="72">
      <c r="A72" s="58">
        <v>73.0</v>
      </c>
      <c r="B72" s="58">
        <v>6621.0</v>
      </c>
      <c r="C72" s="58">
        <v>4601.0</v>
      </c>
      <c r="D72" s="58">
        <v>5016.0</v>
      </c>
      <c r="E72" s="58">
        <v>271.0</v>
      </c>
      <c r="F72" s="58">
        <v>3003.0</v>
      </c>
      <c r="G72" s="58">
        <v>6806.0</v>
      </c>
    </row>
    <row r="73">
      <c r="A73" s="58">
        <v>74.0</v>
      </c>
      <c r="B73" s="58">
        <v>1796.0</v>
      </c>
      <c r="C73" s="58">
        <v>3624.0</v>
      </c>
      <c r="D73" s="58">
        <v>11010.0</v>
      </c>
      <c r="E73" s="58">
        <v>9194.0</v>
      </c>
      <c r="F73" s="58">
        <v>250.0</v>
      </c>
      <c r="G73" s="58">
        <v>229.0</v>
      </c>
    </row>
    <row r="74">
      <c r="A74" s="58">
        <v>75.0</v>
      </c>
      <c r="B74" s="58">
        <v>3171.0</v>
      </c>
      <c r="C74" s="58">
        <v>9624.0</v>
      </c>
      <c r="D74" s="58">
        <v>533.0</v>
      </c>
      <c r="E74" s="58">
        <v>6648.0</v>
      </c>
      <c r="F74" s="58">
        <v>1880.0</v>
      </c>
      <c r="G74" s="58">
        <v>6300.0</v>
      </c>
    </row>
    <row r="75">
      <c r="A75" s="58">
        <v>76.0</v>
      </c>
      <c r="B75" s="58">
        <v>7605.0</v>
      </c>
      <c r="C75" s="58">
        <v>578.0</v>
      </c>
      <c r="D75" s="58">
        <v>2340.0</v>
      </c>
      <c r="E75" s="58">
        <v>5881.0</v>
      </c>
      <c r="F75" s="58">
        <v>1126.0</v>
      </c>
      <c r="G75" s="58">
        <v>424.0</v>
      </c>
    </row>
    <row r="76">
      <c r="A76" s="58">
        <v>77.0</v>
      </c>
      <c r="B76" s="58">
        <v>4121.0</v>
      </c>
      <c r="C76" s="58">
        <v>806.0</v>
      </c>
      <c r="D76" s="58">
        <v>10413.0</v>
      </c>
      <c r="E76" s="58">
        <v>5149.0</v>
      </c>
      <c r="F76" s="58">
        <v>870.0</v>
      </c>
      <c r="G76" s="58">
        <v>191.0</v>
      </c>
    </row>
    <row r="77">
      <c r="A77" s="58">
        <v>78.0</v>
      </c>
      <c r="B77" s="58">
        <v>10714.0</v>
      </c>
      <c r="C77" s="58">
        <v>4930.0</v>
      </c>
      <c r="D77" s="58">
        <v>7718.0</v>
      </c>
      <c r="E77" s="58">
        <v>10202.0</v>
      </c>
      <c r="F77" s="58">
        <v>1405.0</v>
      </c>
      <c r="G77" s="58">
        <v>20.0</v>
      </c>
    </row>
    <row r="78">
      <c r="A78" s="58">
        <v>79.0</v>
      </c>
      <c r="B78" s="58">
        <v>7903.0</v>
      </c>
      <c r="C78" s="58">
        <v>1591.0</v>
      </c>
      <c r="D78" s="58">
        <v>1493.0</v>
      </c>
      <c r="E78" s="58">
        <v>6436.0</v>
      </c>
      <c r="F78" s="58">
        <v>8222.0</v>
      </c>
      <c r="G78" s="58">
        <v>7504.0</v>
      </c>
    </row>
    <row r="79">
      <c r="A79" s="58">
        <v>8.0</v>
      </c>
      <c r="B79" s="58">
        <v>806.0</v>
      </c>
      <c r="C79" s="58">
        <v>5736.0</v>
      </c>
      <c r="D79" s="58">
        <v>10202.0</v>
      </c>
      <c r="E79" s="58">
        <v>10582.0</v>
      </c>
      <c r="F79" s="58">
        <v>424.0</v>
      </c>
      <c r="G79" s="58">
        <v>1493.0</v>
      </c>
    </row>
    <row r="80">
      <c r="A80" s="58">
        <v>80.0</v>
      </c>
      <c r="B80" s="58">
        <v>287.0</v>
      </c>
      <c r="C80" s="58">
        <v>7759.0</v>
      </c>
      <c r="D80" s="58">
        <v>5736.0</v>
      </c>
      <c r="E80" s="58">
        <v>9545.0</v>
      </c>
      <c r="F80" s="58">
        <v>263.0</v>
      </c>
      <c r="G80" s="58">
        <v>1559.0</v>
      </c>
    </row>
    <row r="81">
      <c r="A81" s="58">
        <v>9.0</v>
      </c>
      <c r="B81" s="58">
        <v>1126.0</v>
      </c>
      <c r="C81" s="58">
        <v>191.0</v>
      </c>
      <c r="D81" s="58">
        <v>6300.0</v>
      </c>
      <c r="E81" s="58">
        <v>2053.0</v>
      </c>
      <c r="F81" s="58">
        <v>5016.0</v>
      </c>
      <c r="G81" s="58">
        <v>3181.0</v>
      </c>
    </row>
  </sheetData>
  <drawing r:id="rId1"/>
</worksheet>
</file>